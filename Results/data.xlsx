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<sst xmlns="http://schemas.openxmlformats.org/spreadsheetml/2006/main" count="44" uniqueCount="28">
  <si>
    <t>Our HLVC (PSNR)</t>
  </si>
  <si>
    <t>Our HLVC (MS-SSIM)</t>
  </si>
  <si>
    <t>x265 LDP very fast</t>
  </si>
  <si>
    <t>Bpp</t>
  </si>
  <si>
    <t>PSNR</t>
  </si>
  <si>
    <t>MS-SSIM</t>
  </si>
  <si>
    <t>BasketballPass</t>
  </si>
  <si>
    <t>JCT-VC</t>
  </si>
  <si>
    <t>BlowingBubbles</t>
  </si>
  <si>
    <t>UVG</t>
  </si>
  <si>
    <t>BQSquare</t>
  </si>
  <si>
    <t>RaceHorsesD</t>
  </si>
  <si>
    <t>BasketballDrill</t>
  </si>
  <si>
    <t>BQMall</t>
  </si>
  <si>
    <t>PartyScene</t>
  </si>
  <si>
    <t>RaceHorsesC</t>
  </si>
  <si>
    <t>BasketballDrive_crop</t>
  </si>
  <si>
    <t>BQTerrace_crop</t>
  </si>
  <si>
    <t>Kimono_crop</t>
  </si>
  <si>
    <t>ParkScene_crop</t>
  </si>
  <si>
    <t>Cactus_crop</t>
  </si>
  <si>
    <t>Beauty_crop</t>
  </si>
  <si>
    <t>Bosphorus_crop</t>
  </si>
  <si>
    <t>HoneyBee_crop</t>
  </si>
  <si>
    <t>Jockey_crop</t>
  </si>
  <si>
    <t>ReadySetGo_crop</t>
  </si>
  <si>
    <t>ShakeNDry_crop</t>
  </si>
  <si>
    <t>YachtRide_crop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</si>
</sst>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34"/>
  <sheetViews>
    <sheetView workbookViewId="0" tabSelected="1"/>
  </sheetViews>
  <sheetFormatPr defaultRowHeight="15" x14ac:dyDescent="0.25"/>
  <cols>
    <col min="1" max="1" style="8" width="22.576428571428572" customWidth="1" bestFit="1"/>
    <col min="2" max="2" style="9" width="13.576428571428572" customWidth="1" bestFit="1"/>
    <col min="3" max="3" style="9" width="13.576428571428572" customWidth="1" bestFit="1"/>
    <col min="4" max="4" style="9" width="9.005" customWidth="1" bestFit="1"/>
    <col min="5" max="5" style="9" width="9.005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</cols>
  <sheetData>
    <row x14ac:dyDescent="0.25" r="1" customHeight="1" ht="18.75">
      <c r="A1" s="1"/>
      <c r="B1" s="2" t="s">
        <v>0</v>
      </c>
      <c r="C1" s="2"/>
      <c r="D1" s="2"/>
      <c r="E1" s="2" t="s">
        <v>1</v>
      </c>
      <c r="F1" s="2"/>
      <c r="G1" s="2" t="s">
        <v>2</v>
      </c>
      <c r="H1" s="2"/>
      <c r="I1" s="2"/>
      <c r="J1" s="1"/>
      <c r="K1" s="1"/>
      <c r="L1" s="2" t="s">
        <v>0</v>
      </c>
      <c r="M1" s="2"/>
      <c r="N1" s="2"/>
      <c r="O1" s="2" t="s">
        <v>1</v>
      </c>
      <c r="P1" s="2"/>
      <c r="Q1" s="2" t="s">
        <v>2</v>
      </c>
      <c r="R1" s="2"/>
      <c r="S1" s="2"/>
    </row>
    <row x14ac:dyDescent="0.25" r="2" customHeight="1" ht="18.75">
      <c r="A2" s="1"/>
      <c r="B2" s="2" t="s">
        <v>3</v>
      </c>
      <c r="C2" s="2" t="s">
        <v>4</v>
      </c>
      <c r="D2" s="3" t="s">
        <v>5</v>
      </c>
      <c r="E2" s="2" t="s">
        <v>3</v>
      </c>
      <c r="F2" s="3" t="s">
        <v>5</v>
      </c>
      <c r="G2" s="2" t="s">
        <v>3</v>
      </c>
      <c r="H2" s="2" t="s">
        <v>4</v>
      </c>
      <c r="I2" s="3" t="s">
        <v>5</v>
      </c>
      <c r="J2" s="1"/>
      <c r="K2" s="1"/>
      <c r="L2" s="2" t="s">
        <v>3</v>
      </c>
      <c r="M2" s="2" t="s">
        <v>4</v>
      </c>
      <c r="N2" s="3" t="s">
        <v>5</v>
      </c>
      <c r="O2" s="2" t="s">
        <v>3</v>
      </c>
      <c r="P2" s="3" t="s">
        <v>5</v>
      </c>
      <c r="Q2" s="2" t="s">
        <v>3</v>
      </c>
      <c r="R2" s="2" t="s">
        <v>4</v>
      </c>
      <c r="S2" s="3" t="s">
        <v>5</v>
      </c>
    </row>
    <row x14ac:dyDescent="0.25" r="3" customHeight="1" ht="18.75">
      <c r="A3" s="1" t="s">
        <v>6</v>
      </c>
      <c r="B3" s="4">
        <v>0.08033974358974362</v>
      </c>
      <c r="C3" s="4">
        <v>30.4843616842263</v>
      </c>
      <c r="D3" s="2">
        <v>0.9502526646812001</v>
      </c>
      <c r="E3" s="2">
        <v>0.09050400641025642</v>
      </c>
      <c r="F3" s="2">
        <v>0.9697374984344553</v>
      </c>
      <c r="G3" s="4">
        <v>0.119618589743589</v>
      </c>
      <c r="H3" s="4">
        <v>31.6150624499446</v>
      </c>
      <c r="I3" s="4">
        <v>0.961727869840745</v>
      </c>
      <c r="J3" s="1"/>
      <c r="K3" s="5" t="s">
        <v>7</v>
      </c>
      <c r="L3" s="4">
        <f>AVERAGE(B3,B11,B7,B15,B19,B23,B27,B31,B35,B39,B43,B47,B51)</f>
      </c>
      <c r="M3" s="4">
        <f>AVERAGE(C3,C11,C7,C15,C19,C23,C27,C31,C35,C39,C43,C47,C51)</f>
      </c>
      <c r="N3" s="4">
        <f>AVERAGE(D3,D11,D7,D15,D19,D23,D27,D31,D35,D39,D43,D47,D51)</f>
      </c>
      <c r="O3" s="4">
        <f>AVERAGE(E3,E11,E7,E15,E19,E23,E27,E31,E35,E39,E43,E47,E51)</f>
      </c>
      <c r="P3" s="4">
        <f>AVERAGE(F3,F11,F7,F15,F19,F23,F27,F31,F35,F39,F43,F47,F51)</f>
      </c>
      <c r="Q3" s="4">
        <f>AVERAGE(G3,G11,G7,G15,G19,G23,G27,G31,G35,G39,G43,G47,G51)</f>
      </c>
      <c r="R3" s="4">
        <f>AVERAGE(H3,H11,H7,H15,H19,H23,H27,H31,H35,H39,H43,H47,H51)</f>
      </c>
      <c r="S3" s="4">
        <f>AVERAGE(I3,I11,I7,I15,I19,I23,I27,I31,I35,I39,I43,I47,I51)</f>
      </c>
    </row>
    <row x14ac:dyDescent="0.25" r="4" customHeight="1" ht="18.75">
      <c r="A4" s="1"/>
      <c r="B4" s="4">
        <v>0.13079407051282063</v>
      </c>
      <c r="C4" s="4">
        <v>32.5156343618958</v>
      </c>
      <c r="D4" s="2">
        <v>0.969052618393988</v>
      </c>
      <c r="E4" s="2">
        <v>0.13512259615384614</v>
      </c>
      <c r="F4" s="2">
        <v>0.9748493405620732</v>
      </c>
      <c r="G4" s="4">
        <v>0.196814102564102</v>
      </c>
      <c r="H4" s="4">
        <v>33.959936434391</v>
      </c>
      <c r="I4" s="4">
        <v>0.976435121355709</v>
      </c>
      <c r="J4" s="1"/>
      <c r="K4" s="5"/>
      <c r="L4" s="4">
        <f>AVERAGE(B4,B12,B8,B16,B20,B24,B28,B32,B36,B40,B44,B48,B52)</f>
      </c>
      <c r="M4" s="4">
        <f>AVERAGE(C4,C12,C8,C16,C20,C24,C28,C32,C36,C40,C44,C48,C52)</f>
      </c>
      <c r="N4" s="4">
        <f>AVERAGE(D4,D12,D8,D16,D20,D24,D28,D32,D36,D40,D44,D48,D52)</f>
      </c>
      <c r="O4" s="4">
        <f>AVERAGE(E4,E12,E8,E16,E20,E24,E28,E32,E36,E40,E44,E48,E52)</f>
      </c>
      <c r="P4" s="4">
        <f>AVERAGE(F4,F12,F8,F16,F20,F24,F28,F32,F36,F40,F44,F48,F52)</f>
      </c>
      <c r="Q4" s="4">
        <f>AVERAGE(G4,G12,G8,G16,G20,G24,G28,G32,G36,G40,G44,G48,G52)</f>
      </c>
      <c r="R4" s="4">
        <f>AVERAGE(H4,H12,H8,H16,H20,H24,H28,H32,H36,H40,H44,H48,H52)</f>
      </c>
      <c r="S4" s="4">
        <f>AVERAGE(I4,I12,I8,I16,I20,I24,I28,I32,I36,I40,I44,I48,I52)</f>
      </c>
    </row>
    <row x14ac:dyDescent="0.25" r="5" customHeight="1" ht="18.75">
      <c r="A5" s="1"/>
      <c r="B5" s="4">
        <v>0.21716426282051263</v>
      </c>
      <c r="C5" s="4">
        <v>34.5334739873617</v>
      </c>
      <c r="D5" s="2">
        <v>0.981700750044155</v>
      </c>
      <c r="E5" s="2">
        <v>0.19990384615384613</v>
      </c>
      <c r="F5" s="2">
        <v>0.987016195223692</v>
      </c>
      <c r="G5" s="4">
        <v>0.318043269230769</v>
      </c>
      <c r="H5" s="4">
        <v>36.3541205783932</v>
      </c>
      <c r="I5" s="4">
        <v>0.985219268620786</v>
      </c>
      <c r="J5" s="1"/>
      <c r="K5" s="5"/>
      <c r="L5" s="4">
        <f>AVERAGE(B5,B13,B9,B17,B21,B25,B29,B33,B37,B41,B45,B49,B53)</f>
      </c>
      <c r="M5" s="4">
        <f>AVERAGE(C5,C13,C9,C17,C21,C25,C29,C33,C37,C41,C45,C49,C53)</f>
      </c>
      <c r="N5" s="4">
        <f>AVERAGE(D5,D13,D9,D17,D21,D25,D29,D33,D37,D41,D45,D49,D53)</f>
      </c>
      <c r="O5" s="4">
        <f>AVERAGE(E5,E13,E9,E17,E21,E25,E29,E33,E37,E41,E45,E49,E53)</f>
      </c>
      <c r="P5" s="4">
        <f>AVERAGE(F5,F13,F9,F17,F21,F25,F29,F33,F37,F41,F45,F49,F53)</f>
      </c>
      <c r="Q5" s="4">
        <f>AVERAGE(G5,G13,G9,G17,G21,G25,G29,G33,G37,G41,G45,G49,G53)</f>
      </c>
      <c r="R5" s="4">
        <f>AVERAGE(H5,H13,H9,H17,H21,H25,H29,H33,H37,H41,H45,H49,H53)</f>
      </c>
      <c r="S5" s="4">
        <f>AVERAGE(I5,I13,I9,I17,I21,I25,I29,I33,I37,I41,I45,I49,I53)</f>
      </c>
    </row>
    <row x14ac:dyDescent="0.25" r="6" customHeight="1" ht="18.75">
      <c r="A6" s="1"/>
      <c r="B6" s="4">
        <v>0.3658261217948716</v>
      </c>
      <c r="C6" s="4">
        <v>36.7615648985641</v>
      </c>
      <c r="D6" s="2">
        <v>0.9895066300350661</v>
      </c>
      <c r="E6" s="2">
        <v>0.31851041666666674</v>
      </c>
      <c r="F6" s="2">
        <v>0.9922123595196132</v>
      </c>
      <c r="G6" s="4">
        <v>0.499903044871794</v>
      </c>
      <c r="H6" s="4">
        <v>38.7799831569736</v>
      </c>
      <c r="I6" s="4">
        <v>0.990680208585392</v>
      </c>
      <c r="J6" s="1"/>
      <c r="K6" s="5"/>
      <c r="L6" s="4">
        <f>AVERAGE(B6,B14,B10,B18,B22,B26,B30,B34,B38,B42,B46,B50,B54)</f>
      </c>
      <c r="M6" s="4">
        <f>AVERAGE(C6,C14,C10,C18,C22,C26,C30,C34,C38,C42,C46,C50,C54)</f>
      </c>
      <c r="N6" s="4">
        <f>AVERAGE(D6,D14,D10,D18,D22,D26,D30,D34,D38,D42,D46,D50,D54)</f>
      </c>
      <c r="O6" s="4">
        <f>AVERAGE(E6,E14,E10,E18,E22,E26,E30,E34,E38,E42,E46,E50,E54)</f>
      </c>
      <c r="P6" s="4">
        <f>AVERAGE(F6,F14,F10,F18,F22,F26,F30,F34,F38,F42,F46,F50,F54)</f>
      </c>
      <c r="Q6" s="4">
        <f>AVERAGE(G6,G14,G10,G18,G22,G26,G30,G34,G38,G42,G46,G50,G54)</f>
      </c>
      <c r="R6" s="4">
        <f>AVERAGE(H6,H14,H10,H18,H22,H26,H30,H34,H38,H42,H46,H50,H54)</f>
      </c>
      <c r="S6" s="4">
        <f>AVERAGE(I6,I14,I10,I18,I22,I26,I30,I34,I38,I42,I46,I50,I54)</f>
      </c>
    </row>
    <row x14ac:dyDescent="0.25" r="7" customHeight="1" ht="18.75">
      <c r="A7" s="1" t="s">
        <v>8</v>
      </c>
      <c r="B7" s="4">
        <v>0.11340705128205163</v>
      </c>
      <c r="C7" s="4">
        <v>28.5344811683875</v>
      </c>
      <c r="D7" s="2">
        <v>0.95840310317019</v>
      </c>
      <c r="E7" s="2">
        <v>0.11750721153846155</v>
      </c>
      <c r="F7" s="2">
        <v>0.9626987686269886</v>
      </c>
      <c r="G7" s="4">
        <v>0.134948717948717</v>
      </c>
      <c r="H7" s="4">
        <v>28.2521636436558</v>
      </c>
      <c r="I7" s="4">
        <v>0.950267028334317</v>
      </c>
      <c r="J7" s="1"/>
      <c r="K7" s="5" t="s">
        <v>9</v>
      </c>
      <c r="L7" s="4">
        <f>AVERAGE(B55,B59,B63,B67,B71,B75,B79)</f>
      </c>
      <c r="M7" s="4">
        <f>AVERAGE(C55,C59,C63,C67,C71,C75,C79)</f>
      </c>
      <c r="N7" s="4">
        <f>AVERAGE(D55,D59,D63,D67,D71,D75,D79)</f>
      </c>
      <c r="O7" s="4">
        <f>AVERAGE(E55,E59,E63,E67,E71,E75,E79)</f>
      </c>
      <c r="P7" s="4">
        <f>AVERAGE(F55,F59,F63,F67,F71,F75,F79)</f>
      </c>
      <c r="Q7" s="4">
        <f>AVERAGE(G55,G59,G63,G67,G71,G75,G79)</f>
      </c>
      <c r="R7" s="4">
        <f>AVERAGE(H55,H59,H63,H67,H71,H75,H79)</f>
      </c>
      <c r="S7" s="4">
        <f>AVERAGE(I55,I59,I63,I67,I71,I75,I79)</f>
      </c>
    </row>
    <row x14ac:dyDescent="0.25" r="8" customHeight="1" ht="18.75">
      <c r="A8" s="1"/>
      <c r="B8" s="4">
        <v>0.1938028846153846</v>
      </c>
      <c r="C8" s="4">
        <v>30.5258586344135</v>
      </c>
      <c r="D8" s="2">
        <v>0.973588614778855</v>
      </c>
      <c r="E8" s="2">
        <v>0.16700480769230772</v>
      </c>
      <c r="F8" s="2">
        <v>0.9678780009266668</v>
      </c>
      <c r="G8" s="4">
        <v>0.242705929487179</v>
      </c>
      <c r="H8" s="4">
        <v>30.4144362987803</v>
      </c>
      <c r="I8" s="4">
        <v>0.968260571023293</v>
      </c>
      <c r="J8" s="1"/>
      <c r="K8" s="1"/>
      <c r="L8" s="4">
        <f>AVERAGE(B56,B60,B64,B68,B72,B76,B80)</f>
      </c>
      <c r="M8" s="4">
        <f>AVERAGE(C56,C60,C64,C68,C72,C76,C80)</f>
      </c>
      <c r="N8" s="4">
        <f>AVERAGE(D56,D60,D64,D68,D72,D76,D80)</f>
      </c>
      <c r="O8" s="4">
        <f>AVERAGE(E56,E60,E64,E68,E72,E76,E80)</f>
      </c>
      <c r="P8" s="4">
        <f>AVERAGE(F56,F60,F64,F68,F72,F76,F80)</f>
      </c>
      <c r="Q8" s="4">
        <f>AVERAGE(G56,G60,G64,G68,G72,G76,G80)</f>
      </c>
      <c r="R8" s="4">
        <f>AVERAGE(H56,H60,H64,H68,H72,H76,H80)</f>
      </c>
      <c r="S8" s="4">
        <f>AVERAGE(I56,I60,I64,I68,I72,I76,I80)</f>
      </c>
    </row>
    <row x14ac:dyDescent="0.25" r="9" customHeight="1" ht="18.75">
      <c r="A9" s="1"/>
      <c r="B9" s="4">
        <v>0.32876923076923065</v>
      </c>
      <c r="C9" s="4">
        <v>32.3151114058949</v>
      </c>
      <c r="D9" s="2">
        <v>0.9825071874057031</v>
      </c>
      <c r="E9" s="2">
        <v>0.2547948717948718</v>
      </c>
      <c r="F9" s="2">
        <v>0.9813332656182412</v>
      </c>
      <c r="G9" s="4">
        <v>0.43825</v>
      </c>
      <c r="H9" s="4">
        <v>32.7062361511076</v>
      </c>
      <c r="I9" s="4">
        <v>0.979883846760738</v>
      </c>
      <c r="J9" s="1"/>
      <c r="K9" s="1"/>
      <c r="L9" s="4">
        <f>AVERAGE(B57,B61,B65,B69,B73,B77,B81)</f>
      </c>
      <c r="M9" s="4">
        <f>AVERAGE(C57,C61,C65,C69,C73,C77,C81)</f>
      </c>
      <c r="N9" s="4">
        <f>AVERAGE(D57,D61,D65,D69,D73,D77,D81)</f>
      </c>
      <c r="O9" s="4">
        <f>AVERAGE(E57,E61,E65,E69,E73,E77,E81)</f>
      </c>
      <c r="P9" s="4">
        <f>AVERAGE(F57,F61,F65,F69,F73,F77,F81)</f>
      </c>
      <c r="Q9" s="4">
        <f>AVERAGE(G57,G61,G65,G69,G73,G77,G81)</f>
      </c>
      <c r="R9" s="4">
        <f>AVERAGE(H57,H61,H65,H69,H73,H77,H81)</f>
      </c>
      <c r="S9" s="4">
        <f>AVERAGE(I57,I61,I65,I69,I73,I77,I81)</f>
      </c>
    </row>
    <row x14ac:dyDescent="0.25" r="10" customHeight="1" ht="18.75">
      <c r="A10" s="1"/>
      <c r="B10" s="4">
        <v>0.5631434294871797</v>
      </c>
      <c r="C10" s="4">
        <v>34.1920786049032</v>
      </c>
      <c r="D10" s="2">
        <v>0.988143263822258</v>
      </c>
      <c r="E10" s="2">
        <v>0.40567387820512824</v>
      </c>
      <c r="F10" s="2">
        <v>0.9872808575667832</v>
      </c>
      <c r="G10" s="4">
        <v>0.788007211538461</v>
      </c>
      <c r="H10" s="4">
        <v>35.1403582133118</v>
      </c>
      <c r="I10" s="4">
        <v>0.987117471766578</v>
      </c>
      <c r="J10" s="1"/>
      <c r="K10" s="1"/>
      <c r="L10" s="4">
        <f>AVERAGE(B58,B62,B66,B70,B74,B78,B82)</f>
      </c>
      <c r="M10" s="4">
        <f>AVERAGE(C58,C62,C66,C70,C74,C78,C82)</f>
      </c>
      <c r="N10" s="4">
        <f>AVERAGE(D58,D62,D66,D70,D74,D78,D82)</f>
      </c>
      <c r="O10" s="4">
        <f>AVERAGE(E58,E62,E66,E70,E74,E78,E82)</f>
      </c>
      <c r="P10" s="4">
        <f>AVERAGE(F58,F62,F66,F70,F74,F78,F82)</f>
      </c>
      <c r="Q10" s="4">
        <f>AVERAGE(G58,G62,G66,G70,G74,G78,G82)</f>
      </c>
      <c r="R10" s="4">
        <f>AVERAGE(H58,H62,H66,H70,H74,H78,H82)</f>
      </c>
      <c r="S10" s="4">
        <f>AVERAGE(I58,I62,I66,I70,I74,I78,I82)</f>
      </c>
    </row>
    <row x14ac:dyDescent="0.25" r="11" customHeight="1" ht="18.75">
      <c r="A11" s="1" t="s">
        <v>10</v>
      </c>
      <c r="B11" s="4">
        <v>0.14104887820512862</v>
      </c>
      <c r="C11" s="4">
        <v>27.9941756079486</v>
      </c>
      <c r="D11" s="2">
        <v>0.9765694652631911</v>
      </c>
      <c r="E11" s="2">
        <v>0.08503605769230772</v>
      </c>
      <c r="F11" s="2">
        <v>0.9762540030211477</v>
      </c>
      <c r="G11" s="4">
        <v>0.124120192307692</v>
      </c>
      <c r="H11" s="4">
        <v>26.9365402234992</v>
      </c>
      <c r="I11" s="4">
        <v>0.974268787521362</v>
      </c>
      <c r="J11" s="1"/>
      <c r="K11" s="1"/>
      <c r="L11" s="6"/>
      <c r="M11" s="6"/>
      <c r="N11" s="6"/>
      <c r="O11" s="6"/>
      <c r="P11" s="6"/>
      <c r="Q11" s="6"/>
      <c r="R11" s="6"/>
      <c r="S11" s="6"/>
    </row>
    <row x14ac:dyDescent="0.25" r="12" customHeight="1" ht="18.75">
      <c r="A12" s="1"/>
      <c r="B12" s="4">
        <v>0.22705288461538461</v>
      </c>
      <c r="C12" s="4">
        <v>30.3226720835756</v>
      </c>
      <c r="D12" s="2">
        <v>0.982594370618951</v>
      </c>
      <c r="E12" s="2">
        <v>0.10744150641025639</v>
      </c>
      <c r="F12" s="2">
        <v>0.9761872557451138</v>
      </c>
      <c r="G12" s="4">
        <v>0.223130608974358</v>
      </c>
      <c r="H12" s="4">
        <v>29.2881689007594</v>
      </c>
      <c r="I12" s="4">
        <v>0.983362896645108</v>
      </c>
      <c r="J12" s="1"/>
      <c r="K12" s="1"/>
      <c r="L12" s="6"/>
      <c r="M12" s="6"/>
      <c r="N12" s="6"/>
      <c r="O12" s="6"/>
      <c r="P12" s="6"/>
      <c r="Q12" s="6"/>
      <c r="R12" s="6"/>
      <c r="S12" s="6"/>
    </row>
    <row x14ac:dyDescent="0.25" r="13" customHeight="1" ht="18.75">
      <c r="A13" s="1"/>
      <c r="B13" s="4">
        <v>0.37252804487179464</v>
      </c>
      <c r="C13" s="4">
        <v>32.3215352169109</v>
      </c>
      <c r="D13" s="2">
        <v>0.9903952383108371</v>
      </c>
      <c r="E13" s="2">
        <v>0.1812027243589744</v>
      </c>
      <c r="F13" s="2">
        <v>0.9882770733456524</v>
      </c>
      <c r="G13" s="4">
        <v>0.411120192307692</v>
      </c>
      <c r="H13" s="4">
        <v>31.8111095036631</v>
      </c>
      <c r="I13" s="4">
        <v>0.989238880886959</v>
      </c>
      <c r="J13" s="1"/>
      <c r="K13" s="1"/>
      <c r="L13" s="6"/>
      <c r="M13" s="6"/>
      <c r="N13" s="6"/>
      <c r="O13" s="6"/>
      <c r="P13" s="6"/>
      <c r="Q13" s="6"/>
      <c r="R13" s="6"/>
      <c r="S13" s="6"/>
    </row>
    <row x14ac:dyDescent="0.25" r="14" customHeight="1" ht="18.75">
      <c r="A14" s="1"/>
      <c r="B14" s="4">
        <v>0.6026370192307697</v>
      </c>
      <c r="C14" s="4">
        <v>34.5399476216115</v>
      </c>
      <c r="D14" s="2">
        <v>0.99440203870453</v>
      </c>
      <c r="E14" s="2">
        <v>0.29514182692307694</v>
      </c>
      <c r="F14" s="2">
        <v>0.9924590686964048</v>
      </c>
      <c r="G14" s="4">
        <v>0.726882211538461</v>
      </c>
      <c r="H14" s="4">
        <v>34.4602580758088</v>
      </c>
      <c r="I14" s="4">
        <v>0.992752057906476</v>
      </c>
      <c r="J14" s="1"/>
      <c r="K14" s="1"/>
      <c r="L14" s="6"/>
      <c r="M14" s="6"/>
      <c r="N14" s="6"/>
      <c r="O14" s="6"/>
      <c r="P14" s="6"/>
      <c r="Q14" s="6"/>
      <c r="R14" s="6"/>
      <c r="S14" s="6"/>
    </row>
    <row x14ac:dyDescent="0.25" r="15" customHeight="1" ht="18.75">
      <c r="A15" s="1" t="s">
        <v>11</v>
      </c>
      <c r="B15" s="4">
        <v>0.1345592948717946</v>
      </c>
      <c r="C15" s="4">
        <v>27.6047243145664</v>
      </c>
      <c r="D15" s="2">
        <v>0.9331006749727131</v>
      </c>
      <c r="E15" s="2">
        <v>0.13562740384615385</v>
      </c>
      <c r="F15" s="2">
        <v>0.944589253408376</v>
      </c>
      <c r="G15" s="4">
        <v>0.200572916666666</v>
      </c>
      <c r="H15" s="4">
        <v>28.4527804891876</v>
      </c>
      <c r="I15" s="4">
        <v>0.9437934841767</v>
      </c>
      <c r="J15" s="1"/>
      <c r="K15" s="1"/>
      <c r="L15" s="6"/>
      <c r="M15" s="6"/>
      <c r="N15" s="6"/>
      <c r="O15" s="6"/>
      <c r="P15" s="6"/>
      <c r="Q15" s="6"/>
      <c r="R15" s="6"/>
      <c r="S15" s="6"/>
    </row>
    <row x14ac:dyDescent="0.25" r="16" customHeight="1" ht="18.75">
      <c r="A16" s="1"/>
      <c r="B16" s="4">
        <v>0.24442307692307663</v>
      </c>
      <c r="C16" s="4">
        <v>29.8856721354922</v>
      </c>
      <c r="D16" s="2">
        <v>0.9618514559800591</v>
      </c>
      <c r="E16" s="2">
        <v>0.18869150641025642</v>
      </c>
      <c r="F16" s="2">
        <v>0.9584100037583256</v>
      </c>
      <c r="G16" s="4">
        <v>0.347431891025641</v>
      </c>
      <c r="H16" s="4">
        <v>30.7820174755115</v>
      </c>
      <c r="I16" s="4">
        <v>0.965280564207321</v>
      </c>
      <c r="J16" s="1"/>
      <c r="K16" s="1"/>
      <c r="L16" s="6"/>
      <c r="M16" s="6"/>
      <c r="N16" s="6"/>
      <c r="O16" s="6"/>
      <c r="P16" s="6"/>
      <c r="Q16" s="6"/>
      <c r="R16" s="6"/>
      <c r="S16" s="6"/>
    </row>
    <row x14ac:dyDescent="0.25" r="17" customHeight="1" ht="18.75">
      <c r="A17" s="1"/>
      <c r="B17" s="4">
        <v>0.42041025641025664</v>
      </c>
      <c r="C17" s="4">
        <v>32.0097057634262</v>
      </c>
      <c r="D17" s="2">
        <v>0.9762867394693581</v>
      </c>
      <c r="E17" s="2">
        <v>0.31431971153846155</v>
      </c>
      <c r="F17" s="2">
        <v>0.9766710088271876</v>
      </c>
      <c r="G17" s="4">
        <v>0.57703766025641</v>
      </c>
      <c r="H17" s="4">
        <v>33.2223571684829</v>
      </c>
      <c r="I17" s="4">
        <v>0.978852081270031</v>
      </c>
      <c r="J17" s="1"/>
      <c r="K17" s="1"/>
      <c r="L17" s="6"/>
      <c r="M17" s="6"/>
      <c r="N17" s="6"/>
      <c r="O17" s="6"/>
      <c r="P17" s="6"/>
      <c r="Q17" s="6"/>
      <c r="R17" s="6"/>
      <c r="S17" s="6"/>
    </row>
    <row x14ac:dyDescent="0.25" r="18" customHeight="1" ht="18.75">
      <c r="A18" s="1"/>
      <c r="B18" s="4">
        <v>0.7041362179487177</v>
      </c>
      <c r="C18" s="4">
        <v>33.6035128996219</v>
      </c>
      <c r="D18" s="2">
        <v>0.983356022552299</v>
      </c>
      <c r="E18" s="2">
        <v>0.49830048076923084</v>
      </c>
      <c r="F18" s="2">
        <v>0.9844711128219356</v>
      </c>
      <c r="G18" s="4">
        <v>0.943524038461538</v>
      </c>
      <c r="H18" s="4">
        <v>35.8186057952766</v>
      </c>
      <c r="I18" s="4">
        <v>0.987376601823086</v>
      </c>
      <c r="J18" s="1"/>
      <c r="K18" s="1"/>
      <c r="L18" s="6"/>
      <c r="M18" s="6"/>
      <c r="N18" s="6"/>
      <c r="O18" s="6"/>
      <c r="P18" s="6"/>
      <c r="Q18" s="6"/>
      <c r="R18" s="6"/>
      <c r="S18" s="6"/>
    </row>
    <row x14ac:dyDescent="0.25" r="19" customHeight="1" ht="18.75">
      <c r="A19" s="1" t="s">
        <v>12</v>
      </c>
      <c r="B19" s="4">
        <v>0.07855969551282055</v>
      </c>
      <c r="C19" s="4">
        <v>30.3458436955334</v>
      </c>
      <c r="D19" s="2">
        <v>0.9470107788567641</v>
      </c>
      <c r="E19" s="2">
        <v>0.1020282451923077</v>
      </c>
      <c r="F19" s="2">
        <v>0.9629896558971828</v>
      </c>
      <c r="G19" s="4">
        <v>0.092223157051282</v>
      </c>
      <c r="H19" s="4">
        <v>31.0094750585777</v>
      </c>
      <c r="I19" s="4">
        <v>0.953531136895842</v>
      </c>
      <c r="J19" s="1"/>
      <c r="K19" s="1"/>
      <c r="L19" s="6"/>
      <c r="M19" s="6"/>
      <c r="N19" s="6"/>
      <c r="O19" s="6"/>
      <c r="P19" s="6"/>
      <c r="Q19" s="6"/>
      <c r="R19" s="6"/>
      <c r="S19" s="6"/>
    </row>
    <row x14ac:dyDescent="0.25" r="20" customHeight="1" ht="18.75">
      <c r="A20" s="1"/>
      <c r="B20" s="4">
        <v>0.12656670673076917</v>
      </c>
      <c r="C20" s="4">
        <v>32.417552000099</v>
      </c>
      <c r="D20" s="2">
        <v>0.963800600368767</v>
      </c>
      <c r="E20" s="2">
        <v>0.14495793269230772</v>
      </c>
      <c r="F20" s="2">
        <v>0.9679242298280728</v>
      </c>
      <c r="G20" s="4">
        <v>0.15594110576923</v>
      </c>
      <c r="H20" s="4">
        <v>33.0982835107871</v>
      </c>
      <c r="I20" s="4">
        <v>0.969357640379783</v>
      </c>
      <c r="J20" s="1"/>
      <c r="K20" s="1"/>
      <c r="L20" s="6"/>
      <c r="M20" s="6"/>
      <c r="N20" s="6"/>
      <c r="O20" s="6"/>
      <c r="P20" s="6"/>
      <c r="Q20" s="6"/>
      <c r="R20" s="6"/>
      <c r="S20" s="6"/>
    </row>
    <row x14ac:dyDescent="0.25" r="21" customHeight="1" ht="18.75">
      <c r="A21" s="1"/>
      <c r="B21" s="4">
        <v>0.2022792467948722</v>
      </c>
      <c r="C21" s="4">
        <v>34.3283243543764</v>
      </c>
      <c r="D21" s="2">
        <v>0.976277754916204</v>
      </c>
      <c r="E21" s="2">
        <v>0.22079947916666673</v>
      </c>
      <c r="F21" s="2">
        <v>0.9829502889670588</v>
      </c>
      <c r="G21" s="4">
        <v>0.26482672275641</v>
      </c>
      <c r="H21" s="4">
        <v>35.188911750821</v>
      </c>
      <c r="I21" s="4">
        <v>0.979496597208846</v>
      </c>
      <c r="J21" s="1"/>
      <c r="K21" s="1"/>
      <c r="L21" s="6"/>
      <c r="M21" s="6"/>
      <c r="N21" s="6"/>
      <c r="O21" s="6"/>
      <c r="P21" s="6"/>
      <c r="Q21" s="6"/>
      <c r="R21" s="6"/>
      <c r="S21" s="6"/>
    </row>
    <row x14ac:dyDescent="0.25" r="22" customHeight="1" ht="18.75">
      <c r="A22" s="1"/>
      <c r="B22" s="4">
        <v>0.34999118589743616</v>
      </c>
      <c r="C22" s="4">
        <v>36.302259117159</v>
      </c>
      <c r="D22" s="2">
        <v>0.9847843582428921</v>
      </c>
      <c r="E22" s="2">
        <v>0.3506744791666666</v>
      </c>
      <c r="F22" s="2">
        <v>0.988447105007452</v>
      </c>
      <c r="G22" s="4">
        <v>0.467451121794871</v>
      </c>
      <c r="H22" s="4">
        <v>37.2702927108463</v>
      </c>
      <c r="I22" s="4">
        <v>0.985959119636777</v>
      </c>
      <c r="J22" s="1"/>
      <c r="K22" s="1"/>
      <c r="L22" s="6"/>
      <c r="M22" s="6"/>
      <c r="N22" s="6"/>
      <c r="O22" s="6"/>
      <c r="P22" s="6"/>
      <c r="Q22" s="6"/>
      <c r="R22" s="6"/>
      <c r="S22" s="6"/>
    </row>
    <row x14ac:dyDescent="0.25" r="23" customHeight="1" ht="18.75">
      <c r="A23" s="1" t="s">
        <v>13</v>
      </c>
      <c r="B23" s="4">
        <v>0.08964523237179485</v>
      </c>
      <c r="C23" s="4">
        <v>29.2639499292368</v>
      </c>
      <c r="D23" s="2">
        <v>0.9574538645736371</v>
      </c>
      <c r="E23" s="2">
        <v>0.08986197916666665</v>
      </c>
      <c r="F23" s="2">
        <v>0.963545981713776</v>
      </c>
      <c r="G23" s="4">
        <v>0.0973237179487179</v>
      </c>
      <c r="H23" s="4">
        <v>30.0580181487145</v>
      </c>
      <c r="I23" s="4">
        <v>0.96129615403901</v>
      </c>
      <c r="J23" s="1"/>
      <c r="K23" s="1"/>
      <c r="L23" s="6"/>
      <c r="M23" s="6"/>
      <c r="N23" s="6"/>
      <c r="O23" s="6"/>
      <c r="P23" s="6"/>
      <c r="Q23" s="6"/>
      <c r="R23" s="6"/>
      <c r="S23" s="6"/>
    </row>
    <row x14ac:dyDescent="0.25" r="24" customHeight="1" ht="18.75">
      <c r="A24" s="1"/>
      <c r="B24" s="4">
        <v>0.14938521634615418</v>
      </c>
      <c r="C24" s="4">
        <v>31.3105183546756</v>
      </c>
      <c r="D24" s="2">
        <v>0.973076397090851</v>
      </c>
      <c r="E24" s="2">
        <v>0.1176217948717949</v>
      </c>
      <c r="F24" s="2">
        <v>0.9681801312668615</v>
      </c>
      <c r="G24" s="4">
        <v>0.162557491987179</v>
      </c>
      <c r="H24" s="4">
        <v>32.1025358516691</v>
      </c>
      <c r="I24" s="4">
        <v>0.973505633601241</v>
      </c>
      <c r="J24" s="1"/>
      <c r="K24" s="1"/>
      <c r="L24" s="6"/>
      <c r="M24" s="6"/>
      <c r="N24" s="6"/>
      <c r="O24" s="6"/>
      <c r="P24" s="6"/>
      <c r="Q24" s="6"/>
      <c r="R24" s="6"/>
      <c r="S24" s="6"/>
    </row>
    <row x14ac:dyDescent="0.25" r="25" customHeight="1" ht="18.75">
      <c r="A25" s="1"/>
      <c r="B25" s="4">
        <v>0.2368108974358972</v>
      </c>
      <c r="C25" s="4">
        <v>33.0134023263075</v>
      </c>
      <c r="D25" s="2">
        <v>0.9815810134457641</v>
      </c>
      <c r="E25" s="2">
        <v>0.21143569711538465</v>
      </c>
      <c r="F25" s="2">
        <v>0.9824507450188136</v>
      </c>
      <c r="G25" s="4">
        <v>0.277908453525641</v>
      </c>
      <c r="H25" s="4">
        <v>34.0945915344286</v>
      </c>
      <c r="I25" s="4">
        <v>0.981459930993714</v>
      </c>
      <c r="J25" s="1"/>
      <c r="K25" s="1"/>
      <c r="L25" s="6"/>
      <c r="M25" s="6"/>
      <c r="N25" s="6"/>
      <c r="O25" s="6"/>
      <c r="P25" s="6"/>
      <c r="Q25" s="6"/>
      <c r="R25" s="6"/>
      <c r="S25" s="6"/>
    </row>
    <row x14ac:dyDescent="0.25" r="26" customHeight="1" ht="18.75">
      <c r="A26" s="1"/>
      <c r="B26" s="4">
        <v>0.3964366987179482</v>
      </c>
      <c r="C26" s="4">
        <v>34.8341742204626</v>
      </c>
      <c r="D26" s="2">
        <v>0.9863147989262081</v>
      </c>
      <c r="E26" s="2">
        <v>0.35604126602564096</v>
      </c>
      <c r="F26" s="2">
        <v>0.9877749839677874</v>
      </c>
      <c r="G26" s="4">
        <v>0.517579326923077</v>
      </c>
      <c r="H26" s="4">
        <v>36.0166530902442</v>
      </c>
      <c r="I26" s="4">
        <v>0.986619276313487</v>
      </c>
      <c r="J26" s="1"/>
      <c r="K26" s="1"/>
      <c r="L26" s="6"/>
      <c r="M26" s="6"/>
      <c r="N26" s="6"/>
      <c r="O26" s="6"/>
      <c r="P26" s="6"/>
      <c r="Q26" s="6"/>
      <c r="R26" s="6"/>
      <c r="S26" s="6"/>
    </row>
    <row x14ac:dyDescent="0.25" r="27" customHeight="1" ht="18.75">
      <c r="A27" s="1" t="s">
        <v>14</v>
      </c>
      <c r="B27" s="4">
        <v>0.1546384214743592</v>
      </c>
      <c r="C27" s="4">
        <v>26.6803444677889</v>
      </c>
      <c r="D27" s="2">
        <v>0.95878420691266</v>
      </c>
      <c r="E27" s="2">
        <v>0.14006931089743593</v>
      </c>
      <c r="F27" s="2">
        <v>0.958793076969752</v>
      </c>
      <c r="G27" s="4">
        <v>0.15578485576923</v>
      </c>
      <c r="H27" s="4">
        <v>26.6101001433226</v>
      </c>
      <c r="I27" s="4">
        <v>0.948979903823032</v>
      </c>
      <c r="J27" s="1"/>
      <c r="K27" s="1"/>
      <c r="L27" s="6"/>
      <c r="M27" s="6"/>
      <c r="N27" s="6"/>
      <c r="O27" s="6"/>
      <c r="P27" s="6"/>
      <c r="Q27" s="6"/>
      <c r="R27" s="6"/>
      <c r="S27" s="6"/>
    </row>
    <row x14ac:dyDescent="0.25" r="28" customHeight="1" ht="18.75">
      <c r="A28" s="1"/>
      <c r="B28" s="4">
        <v>0.2649086538461542</v>
      </c>
      <c r="C28" s="4">
        <v>28.8077005136124</v>
      </c>
      <c r="D28" s="2">
        <v>0.9746125673828521</v>
      </c>
      <c r="E28" s="2">
        <v>0.18752804487179486</v>
      </c>
      <c r="F28" s="2">
        <v>0.963043962446517</v>
      </c>
      <c r="G28" s="4">
        <v>0.272111378205128</v>
      </c>
      <c r="H28" s="4">
        <v>28.8496373047776</v>
      </c>
      <c r="I28" s="4">
        <v>0.968273824033903</v>
      </c>
      <c r="J28" s="1"/>
      <c r="K28" s="1"/>
      <c r="L28" s="6"/>
      <c r="M28" s="6"/>
      <c r="N28" s="6"/>
      <c r="O28" s="6"/>
      <c r="P28" s="6"/>
      <c r="Q28" s="6"/>
      <c r="R28" s="6"/>
      <c r="S28" s="6"/>
    </row>
    <row x14ac:dyDescent="0.25" r="29" customHeight="1" ht="18.75">
      <c r="A29" s="1"/>
      <c r="B29" s="4">
        <v>0.43914743589743616</v>
      </c>
      <c r="C29" s="4">
        <v>30.6161254672727</v>
      </c>
      <c r="D29" s="2">
        <v>0.983488539651682</v>
      </c>
      <c r="E29" s="2">
        <v>0.2735530849358974</v>
      </c>
      <c r="F29" s="2">
        <v>0.9794470658562684</v>
      </c>
      <c r="G29" s="4">
        <v>0.476376602564102</v>
      </c>
      <c r="H29" s="4">
        <v>31.191007240151</v>
      </c>
      <c r="I29" s="4">
        <v>0.98000820012741</v>
      </c>
      <c r="J29" s="1"/>
      <c r="K29" s="1"/>
      <c r="L29" s="6"/>
      <c r="M29" s="6"/>
      <c r="N29" s="6"/>
      <c r="O29" s="6"/>
      <c r="P29" s="6"/>
      <c r="Q29" s="6"/>
      <c r="R29" s="6"/>
      <c r="S29" s="6"/>
    </row>
    <row x14ac:dyDescent="0.25" r="30" customHeight="1" ht="18.75">
      <c r="A30" s="1"/>
      <c r="B30" s="4">
        <v>0.7339256810897432</v>
      </c>
      <c r="C30" s="4">
        <v>32.8125782529347</v>
      </c>
      <c r="D30" s="2">
        <v>0.9894636095944711</v>
      </c>
      <c r="E30" s="2">
        <v>0.42015544871794874</v>
      </c>
      <c r="F30" s="2">
        <v>0.986166253515256</v>
      </c>
      <c r="G30" s="4">
        <v>0.821763020833333</v>
      </c>
      <c r="H30" s="4">
        <v>33.727631946679</v>
      </c>
      <c r="I30" s="4">
        <v>0.987475130833991</v>
      </c>
      <c r="J30" s="1"/>
      <c r="K30" s="1"/>
      <c r="L30" s="6"/>
      <c r="M30" s="6"/>
      <c r="N30" s="6"/>
      <c r="O30" s="6"/>
      <c r="P30" s="6"/>
      <c r="Q30" s="6"/>
      <c r="R30" s="6"/>
      <c r="S30" s="6"/>
    </row>
    <row x14ac:dyDescent="0.25" r="31" customHeight="1" ht="18.75">
      <c r="A31" s="1" t="s">
        <v>15</v>
      </c>
      <c r="B31" s="4">
        <v>0.12387119391025615</v>
      </c>
      <c r="C31" s="4">
        <v>27.4380981009873</v>
      </c>
      <c r="D31" s="2">
        <v>0.9270226975215351</v>
      </c>
      <c r="E31" s="2">
        <v>0.12677083333333336</v>
      </c>
      <c r="F31" s="2">
        <v>0.9408386794240504</v>
      </c>
      <c r="G31" s="4">
        <v>0.181628806089743</v>
      </c>
      <c r="H31" s="4">
        <v>29.0092101016002</v>
      </c>
      <c r="I31" s="4">
        <v>0.943892339819336</v>
      </c>
      <c r="J31" s="1"/>
      <c r="K31" s="1"/>
      <c r="L31" s="6"/>
      <c r="M31" s="6"/>
      <c r="N31" s="6"/>
      <c r="O31" s="6"/>
      <c r="P31" s="6"/>
      <c r="Q31" s="6"/>
      <c r="R31" s="6"/>
      <c r="S31" s="6"/>
    </row>
    <row x14ac:dyDescent="0.25" r="32" customHeight="1" ht="18.75">
      <c r="A32" s="1"/>
      <c r="B32" s="4">
        <v>0.2396201923076922</v>
      </c>
      <c r="C32" s="4">
        <v>29.4140286515896</v>
      </c>
      <c r="D32" s="2">
        <v>0.9538553914559741</v>
      </c>
      <c r="E32" s="2">
        <v>0.17017708333333337</v>
      </c>
      <c r="F32" s="2">
        <v>0.9506401610938959</v>
      </c>
      <c r="G32" s="4">
        <v>0.331047676282051</v>
      </c>
      <c r="H32" s="4">
        <v>31.204722372495</v>
      </c>
      <c r="I32" s="4">
        <v>0.963366339883166</v>
      </c>
      <c r="J32" s="1"/>
      <c r="K32" s="1"/>
      <c r="L32" s="6"/>
      <c r="M32" s="6"/>
      <c r="N32" s="6"/>
      <c r="O32" s="6"/>
      <c r="P32" s="6"/>
      <c r="Q32" s="6"/>
      <c r="R32" s="6"/>
      <c r="S32" s="6"/>
    </row>
    <row x14ac:dyDescent="0.25" r="33" customHeight="1" ht="18.75">
      <c r="A33" s="1"/>
      <c r="B33" s="4">
        <v>0.3848493589743592</v>
      </c>
      <c r="C33" s="4">
        <v>31.1807373106555</v>
      </c>
      <c r="D33" s="2">
        <v>0.9682592961106181</v>
      </c>
      <c r="E33" s="2">
        <v>0.32662760416666664</v>
      </c>
      <c r="F33" s="2">
        <v>0.9709790538972624</v>
      </c>
      <c r="G33" s="4">
        <v>0.589792467948717</v>
      </c>
      <c r="H33" s="4">
        <v>33.5016284165796</v>
      </c>
      <c r="I33" s="4">
        <v>0.97617806706298</v>
      </c>
      <c r="J33" s="1"/>
      <c r="K33" s="1"/>
      <c r="L33" s="6"/>
      <c r="M33" s="6"/>
      <c r="N33" s="6"/>
      <c r="O33" s="6"/>
      <c r="P33" s="6"/>
      <c r="Q33" s="6"/>
      <c r="R33" s="6"/>
      <c r="S33" s="6"/>
    </row>
    <row x14ac:dyDescent="0.25" r="34" customHeight="1" ht="18.75">
      <c r="A34" s="1"/>
      <c r="B34" s="4">
        <v>0.6961354166666661</v>
      </c>
      <c r="C34" s="4">
        <v>33.061643041311</v>
      </c>
      <c r="D34" s="2">
        <v>0.977922529117188</v>
      </c>
      <c r="E34" s="2">
        <v>0.5204623397435898</v>
      </c>
      <c r="F34" s="2">
        <v>0.9799703031157616</v>
      </c>
      <c r="G34" s="4">
        <v>1.01574018429487</v>
      </c>
      <c r="H34" s="4">
        <v>35.9689682298787</v>
      </c>
      <c r="I34" s="4">
        <v>0.985129807970873</v>
      </c>
      <c r="J34" s="1"/>
      <c r="K34" s="1"/>
      <c r="L34" s="6"/>
      <c r="M34" s="6"/>
      <c r="N34" s="6"/>
      <c r="O34" s="6"/>
      <c r="P34" s="6"/>
      <c r="Q34" s="6"/>
      <c r="R34" s="6"/>
      <c r="S34" s="6"/>
    </row>
    <row x14ac:dyDescent="0.25" r="35" customHeight="1" ht="18.75">
      <c r="A35" s="1" t="s">
        <v>16</v>
      </c>
      <c r="B35" s="4">
        <v>0.06111419465174129</v>
      </c>
      <c r="C35" s="4">
        <v>31.7669951732751</v>
      </c>
      <c r="D35" s="2">
        <v>0.940133776268894</v>
      </c>
      <c r="E35" s="2">
        <v>0.08493761660447764</v>
      </c>
      <c r="F35" s="2">
        <v>0.9613764820506554</v>
      </c>
      <c r="G35" s="4">
        <v>0.060299751243781</v>
      </c>
      <c r="H35" s="4">
        <v>33.0319321026323</v>
      </c>
      <c r="I35" s="4">
        <v>0.953766502689538</v>
      </c>
      <c r="J35" s="7"/>
      <c r="K35" s="1"/>
      <c r="L35" s="6"/>
      <c r="M35" s="6"/>
      <c r="N35" s="6"/>
      <c r="O35" s="6"/>
      <c r="P35" s="6"/>
      <c r="Q35" s="6"/>
      <c r="R35" s="6"/>
      <c r="S35" s="6"/>
    </row>
    <row x14ac:dyDescent="0.25" r="36" customHeight="1" ht="18.75">
      <c r="A36" s="1"/>
      <c r="B36" s="4">
        <v>0.0952522932213931</v>
      </c>
      <c r="C36" s="4">
        <v>33.4225503542919</v>
      </c>
      <c r="D36" s="2">
        <v>0.9577239883706181</v>
      </c>
      <c r="E36" s="2">
        <v>0.12524654073383087</v>
      </c>
      <c r="F36" s="2">
        <v>0.9677637276565976</v>
      </c>
      <c r="G36" s="4">
        <v>0.116056358830845</v>
      </c>
      <c r="H36" s="4">
        <v>34.366061128649</v>
      </c>
      <c r="I36" s="4">
        <v>0.964307249035091</v>
      </c>
      <c r="J36" s="7"/>
      <c r="K36" s="1"/>
      <c r="L36" s="6"/>
      <c r="M36" s="6"/>
      <c r="N36" s="6"/>
      <c r="O36" s="6"/>
      <c r="P36" s="6"/>
      <c r="Q36" s="6"/>
      <c r="R36" s="6"/>
      <c r="S36" s="6"/>
    </row>
    <row x14ac:dyDescent="0.25" r="37" customHeight="1" ht="18.75">
      <c r="A37" s="1"/>
      <c r="B37" s="4">
        <v>0.1551950015547262</v>
      </c>
      <c r="C37" s="4">
        <v>34.7563203070641</v>
      </c>
      <c r="D37" s="2">
        <v>0.9681895601496021</v>
      </c>
      <c r="E37" s="2">
        <v>0.22432493781094529</v>
      </c>
      <c r="F37" s="2">
        <v>0.9765373195983624</v>
      </c>
      <c r="G37" s="4">
        <v>0.268250427549751</v>
      </c>
      <c r="H37" s="4">
        <v>35.6610457746195</v>
      </c>
      <c r="I37" s="4">
        <v>0.972146318867877</v>
      </c>
      <c r="J37" s="7"/>
      <c r="K37" s="1"/>
      <c r="L37" s="6"/>
      <c r="M37" s="6"/>
      <c r="N37" s="6"/>
      <c r="O37" s="6"/>
      <c r="P37" s="6"/>
      <c r="Q37" s="6"/>
      <c r="R37" s="6"/>
      <c r="S37" s="6"/>
    </row>
    <row x14ac:dyDescent="0.25" r="38" customHeight="1" ht="18.75">
      <c r="A38" s="1"/>
      <c r="B38" s="4">
        <v>0.3105757540422882</v>
      </c>
      <c r="C38" s="4">
        <v>35.898519611537</v>
      </c>
      <c r="D38" s="2">
        <v>0.9742852794959711</v>
      </c>
      <c r="E38" s="2">
        <v>0.41093260261194026</v>
      </c>
      <c r="F38" s="2">
        <v>0.9819396196554132</v>
      </c>
      <c r="G38" s="4">
        <v>0.733174634639303</v>
      </c>
      <c r="H38" s="4">
        <v>37.3831248240841</v>
      </c>
      <c r="I38" s="4">
        <v>0.979563526613161</v>
      </c>
      <c r="J38" s="7"/>
      <c r="K38" s="1"/>
      <c r="L38" s="6"/>
      <c r="M38" s="6"/>
      <c r="N38" s="6"/>
      <c r="O38" s="6"/>
      <c r="P38" s="6"/>
      <c r="Q38" s="6"/>
      <c r="R38" s="6"/>
      <c r="S38" s="6"/>
    </row>
    <row x14ac:dyDescent="0.25" r="39" customHeight="1" ht="18.75">
      <c r="A39" s="1" t="s">
        <v>17</v>
      </c>
      <c r="B39" s="4">
        <v>0.0810820506840796</v>
      </c>
      <c r="C39" s="4">
        <v>29.7797178381968</v>
      </c>
      <c r="D39" s="2">
        <v>0.9558645893922021</v>
      </c>
      <c r="E39" s="2">
        <v>0.08635047419154229</v>
      </c>
      <c r="F39" s="2">
        <v>0.9635883680443321</v>
      </c>
      <c r="G39" s="4">
        <v>0.0556133006840796</v>
      </c>
      <c r="H39" s="4">
        <v>29.693713080808</v>
      </c>
      <c r="I39" s="4">
        <v>0.959740507926129</v>
      </c>
      <c r="J39" s="7"/>
      <c r="K39" s="1"/>
      <c r="L39" s="6"/>
      <c r="M39" s="6"/>
      <c r="N39" s="6"/>
      <c r="O39" s="6"/>
      <c r="P39" s="6"/>
      <c r="Q39" s="6"/>
      <c r="R39" s="6"/>
      <c r="S39" s="6"/>
    </row>
    <row x14ac:dyDescent="0.25" r="40" customHeight="1" ht="18.75">
      <c r="A40" s="1"/>
      <c r="B40" s="4">
        <v>0.1394842195273632</v>
      </c>
      <c r="C40" s="4">
        <v>31.600153328967</v>
      </c>
      <c r="D40" s="2">
        <v>0.9689012798455751</v>
      </c>
      <c r="E40" s="2">
        <v>0.13200268190298506</v>
      </c>
      <c r="F40" s="2">
        <v>0.969488184777284</v>
      </c>
      <c r="G40" s="4">
        <v>0.112464940920398</v>
      </c>
      <c r="H40" s="4">
        <v>31.1785753508936</v>
      </c>
      <c r="I40" s="4">
        <v>0.968978192862071</v>
      </c>
      <c r="J40" s="7"/>
      <c r="K40" s="1"/>
      <c r="L40" s="6"/>
      <c r="M40" s="6"/>
      <c r="N40" s="6"/>
      <c r="O40" s="6"/>
      <c r="P40" s="6"/>
      <c r="Q40" s="6"/>
      <c r="R40" s="6"/>
      <c r="S40" s="6"/>
    </row>
    <row x14ac:dyDescent="0.25" r="41" customHeight="1" ht="18.75">
      <c r="A41" s="1"/>
      <c r="B41" s="4">
        <v>0.2576878498134332</v>
      </c>
      <c r="C41" s="4">
        <v>32.9923328919512</v>
      </c>
      <c r="D41" s="2">
        <v>0.9764978587613691</v>
      </c>
      <c r="E41" s="2">
        <v>0.21499887282338306</v>
      </c>
      <c r="F41" s="2">
        <v>0.9790949251989598</v>
      </c>
      <c r="G41" s="4">
        <v>0.285134134017412</v>
      </c>
      <c r="H41" s="4">
        <v>32.7546744046644</v>
      </c>
      <c r="I41" s="4">
        <v>0.975868185667049</v>
      </c>
      <c r="J41" s="7"/>
      <c r="K41" s="1"/>
      <c r="L41" s="6"/>
      <c r="M41" s="6"/>
      <c r="N41" s="6"/>
      <c r="O41" s="6"/>
      <c r="P41" s="6"/>
      <c r="Q41" s="6"/>
      <c r="R41" s="6"/>
      <c r="S41" s="6"/>
    </row>
    <row x14ac:dyDescent="0.25" r="42" customHeight="1" ht="18.75">
      <c r="A42" s="1"/>
      <c r="B42" s="4">
        <v>0.4985586520522392</v>
      </c>
      <c r="C42" s="4">
        <v>34.2835652569258</v>
      </c>
      <c r="D42" s="2">
        <v>0.9805115469909861</v>
      </c>
      <c r="E42" s="2">
        <v>0.3894211365049751</v>
      </c>
      <c r="F42" s="2">
        <v>0.9842620897314928</v>
      </c>
      <c r="G42" s="4">
        <v>0.716733714241293</v>
      </c>
      <c r="H42" s="4">
        <v>34.9669768003355</v>
      </c>
      <c r="I42" s="4">
        <v>0.983366076609019</v>
      </c>
      <c r="J42" s="7"/>
      <c r="K42" s="1"/>
      <c r="L42" s="6"/>
      <c r="M42" s="6"/>
      <c r="N42" s="6"/>
      <c r="O42" s="6"/>
      <c r="P42" s="6"/>
      <c r="Q42" s="6"/>
      <c r="R42" s="6"/>
      <c r="S42" s="6"/>
    </row>
    <row x14ac:dyDescent="0.25" r="43" customHeight="1" ht="18.75">
      <c r="A43" s="1" t="s">
        <v>18</v>
      </c>
      <c r="B43" s="4">
        <v>0.0632273398631841</v>
      </c>
      <c r="C43" s="4">
        <v>34.476068581913</v>
      </c>
      <c r="D43" s="2">
        <v>0.9503987008526821</v>
      </c>
      <c r="E43" s="2">
        <v>0.08666705534825872</v>
      </c>
      <c r="F43" s="2">
        <v>0.9674475348400128</v>
      </c>
      <c r="G43" s="4">
        <v>0.0808403684701492</v>
      </c>
      <c r="H43" s="4">
        <v>35.1276302874989</v>
      </c>
      <c r="I43" s="4">
        <v>0.95767097154216</v>
      </c>
      <c r="J43" s="7"/>
      <c r="K43" s="1"/>
      <c r="L43" s="6"/>
      <c r="M43" s="6"/>
      <c r="N43" s="6"/>
      <c r="O43" s="6"/>
      <c r="P43" s="6"/>
      <c r="Q43" s="6"/>
      <c r="R43" s="6"/>
      <c r="S43" s="6"/>
    </row>
    <row x14ac:dyDescent="0.25" r="44" customHeight="1" ht="18.75">
      <c r="A44" s="1"/>
      <c r="B44" s="4">
        <v>0.08603552549751249</v>
      </c>
      <c r="C44" s="4">
        <v>35.5841224526022</v>
      </c>
      <c r="D44" s="2">
        <v>0.9611392498682991</v>
      </c>
      <c r="E44" s="2">
        <v>0.13123651274875622</v>
      </c>
      <c r="F44" s="2">
        <v>0.9736187964809461</v>
      </c>
      <c r="G44" s="4">
        <v>0.140328941231343</v>
      </c>
      <c r="H44" s="4">
        <v>36.453325529371</v>
      </c>
      <c r="I44" s="4">
        <v>0.967787222873752</v>
      </c>
      <c r="J44" s="7"/>
      <c r="K44" s="1"/>
      <c r="L44" s="6"/>
      <c r="M44" s="6"/>
      <c r="N44" s="6"/>
      <c r="O44" s="6"/>
      <c r="P44" s="6"/>
      <c r="Q44" s="6"/>
      <c r="R44" s="6"/>
      <c r="S44" s="6"/>
    </row>
    <row x14ac:dyDescent="0.25" r="45" customHeight="1" ht="18.75">
      <c r="A45" s="1"/>
      <c r="B45" s="4">
        <v>0.1358147543532342</v>
      </c>
      <c r="C45" s="4">
        <v>36.8434782033259</v>
      </c>
      <c r="D45" s="2">
        <v>0.970126206005505</v>
      </c>
      <c r="E45" s="2">
        <v>0.22577479788557217</v>
      </c>
      <c r="F45" s="2">
        <v>0.9800431922509698</v>
      </c>
      <c r="G45" s="4">
        <v>0.297479866293532</v>
      </c>
      <c r="H45" s="4">
        <v>37.7619056357845</v>
      </c>
      <c r="I45" s="4">
        <v>0.9759327945439</v>
      </c>
      <c r="J45" s="7"/>
      <c r="K45" s="1"/>
      <c r="L45" s="6"/>
      <c r="M45" s="6"/>
      <c r="N45" s="6"/>
      <c r="O45" s="6"/>
      <c r="P45" s="6"/>
      <c r="Q45" s="6"/>
      <c r="R45" s="6"/>
      <c r="S45" s="6"/>
    </row>
    <row x14ac:dyDescent="0.25" r="46" customHeight="1" ht="18.75">
      <c r="A46" s="1"/>
      <c r="B46" s="4">
        <v>0.2278761660447762</v>
      </c>
      <c r="C46" s="4">
        <v>37.9358298678973</v>
      </c>
      <c r="D46" s="2">
        <v>0.976407035634908</v>
      </c>
      <c r="E46" s="2">
        <v>0.4136007074004975</v>
      </c>
      <c r="F46" s="2">
        <v>0.9857030213030056</v>
      </c>
      <c r="G46" s="4">
        <v>0.736031444340795</v>
      </c>
      <c r="H46" s="4">
        <v>39.3563694902386</v>
      </c>
      <c r="I46" s="4">
        <v>0.983586021605103</v>
      </c>
      <c r="J46" s="7"/>
      <c r="K46" s="1"/>
      <c r="L46" s="6"/>
      <c r="M46" s="6"/>
      <c r="N46" s="6"/>
      <c r="O46" s="6"/>
      <c r="P46" s="6"/>
      <c r="Q46" s="6"/>
      <c r="R46" s="6"/>
      <c r="S46" s="6"/>
    </row>
    <row x14ac:dyDescent="0.25" r="47" customHeight="1" ht="18.75">
      <c r="A47" s="1" t="s">
        <v>19</v>
      </c>
      <c r="B47" s="4">
        <v>0.0729555348258707</v>
      </c>
      <c r="C47" s="4">
        <v>31.1978277144731</v>
      </c>
      <c r="D47" s="2">
        <v>0.941019737801405</v>
      </c>
      <c r="E47" s="2">
        <v>0.09106615360696518</v>
      </c>
      <c r="F47" s="2">
        <v>0.9517407389004736</v>
      </c>
      <c r="G47" s="4">
        <v>0.103418998756218</v>
      </c>
      <c r="H47" s="4">
        <v>32.086941546369</v>
      </c>
      <c r="I47" s="4">
        <v>0.947872420261245</v>
      </c>
      <c r="J47" s="7"/>
      <c r="K47" s="1"/>
      <c r="L47" s="6"/>
      <c r="M47" s="6"/>
      <c r="N47" s="6"/>
      <c r="O47" s="6"/>
      <c r="P47" s="6"/>
      <c r="Q47" s="6"/>
      <c r="R47" s="6"/>
      <c r="S47" s="6"/>
    </row>
    <row x14ac:dyDescent="0.25" r="48" customHeight="1" ht="18.75">
      <c r="A48" s="1"/>
      <c r="B48" s="4">
        <v>0.1205956545398012</v>
      </c>
      <c r="C48" s="4">
        <v>32.888532581284</v>
      </c>
      <c r="D48" s="2">
        <v>0.9561560142388661</v>
      </c>
      <c r="E48" s="2">
        <v>0.14385265080845772</v>
      </c>
      <c r="F48" s="2">
        <v>0.9625061866775048</v>
      </c>
      <c r="G48" s="4">
        <v>0.20347166511194</v>
      </c>
      <c r="H48" s="4">
        <v>33.8309732986003</v>
      </c>
      <c r="I48" s="4">
        <v>0.962293913144332</v>
      </c>
      <c r="J48" s="7"/>
      <c r="K48" s="1"/>
      <c r="L48" s="6"/>
      <c r="M48" s="6"/>
      <c r="N48" s="6"/>
      <c r="O48" s="6"/>
      <c r="P48" s="6"/>
      <c r="Q48" s="6"/>
      <c r="R48" s="6"/>
      <c r="S48" s="6"/>
    </row>
    <row x14ac:dyDescent="0.25" r="49" customHeight="1" ht="18.75">
      <c r="A49" s="1"/>
      <c r="B49" s="4">
        <v>0.2138865827114432</v>
      </c>
      <c r="C49" s="4">
        <v>34.5586265568571</v>
      </c>
      <c r="D49" s="2">
        <v>0.9688938068024531</v>
      </c>
      <c r="E49" s="2">
        <v>0.2476798041044776</v>
      </c>
      <c r="F49" s="2">
        <v>0.9751768660432071</v>
      </c>
      <c r="G49" s="4">
        <v>0.448775264303482</v>
      </c>
      <c r="H49" s="4">
        <v>35.6970246458255</v>
      </c>
      <c r="I49" s="4">
        <v>0.97364113929773</v>
      </c>
      <c r="J49" s="7"/>
      <c r="K49" s="1"/>
      <c r="L49" s="6"/>
      <c r="M49" s="6"/>
      <c r="N49" s="6"/>
      <c r="O49" s="6"/>
      <c r="P49" s="6"/>
      <c r="Q49" s="6"/>
      <c r="R49" s="6"/>
      <c r="S49" s="6"/>
    </row>
    <row x14ac:dyDescent="0.25" r="50" customHeight="1" ht="18.75">
      <c r="A50" s="1"/>
      <c r="B50" s="4">
        <v>0.3719345071517412</v>
      </c>
      <c r="C50" s="4">
        <v>36.0102638789262</v>
      </c>
      <c r="D50" s="2">
        <v>0.9759903071786461</v>
      </c>
      <c r="E50" s="2">
        <v>0.45269698383084594</v>
      </c>
      <c r="F50" s="2">
        <v>0.9830417894899424</v>
      </c>
      <c r="G50" s="4">
        <v>0.947105799129353</v>
      </c>
      <c r="H50" s="4">
        <v>37.902233590736</v>
      </c>
      <c r="I50" s="4">
        <v>0.983338101993566</v>
      </c>
      <c r="J50" s="7"/>
      <c r="K50" s="1"/>
      <c r="L50" s="6"/>
      <c r="M50" s="6"/>
      <c r="N50" s="6"/>
      <c r="O50" s="6"/>
      <c r="P50" s="6"/>
      <c r="Q50" s="6"/>
      <c r="R50" s="6"/>
      <c r="S50" s="6"/>
    </row>
    <row x14ac:dyDescent="0.25" r="51" customHeight="1" ht="18.75">
      <c r="A51" s="1" t="s">
        <v>20</v>
      </c>
      <c r="B51" s="4">
        <v>0.0658573927238806</v>
      </c>
      <c r="C51" s="4">
        <v>31.2949955262633</v>
      </c>
      <c r="D51" s="2">
        <v>0.9467947142217911</v>
      </c>
      <c r="E51" s="2">
        <v>0.08124782338308457</v>
      </c>
      <c r="F51" s="2">
        <v>0.9536512648566948</v>
      </c>
      <c r="G51" s="4">
        <v>0.0663412624378109</v>
      </c>
      <c r="H51" s="4">
        <v>31.0450541578879</v>
      </c>
      <c r="I51" s="4">
        <v>0.943271950193764</v>
      </c>
      <c r="J51" s="7"/>
      <c r="K51" s="1"/>
      <c r="L51" s="6"/>
      <c r="M51" s="6"/>
      <c r="N51" s="6"/>
      <c r="O51" s="6"/>
      <c r="P51" s="6"/>
      <c r="Q51" s="6"/>
      <c r="R51" s="6"/>
      <c r="S51" s="6"/>
    </row>
    <row x14ac:dyDescent="0.25" r="52" customHeight="1" ht="18.75">
      <c r="A52" s="1"/>
      <c r="B52" s="4">
        <v>0.10494492381840821</v>
      </c>
      <c r="C52" s="4">
        <v>32.6948214910966</v>
      </c>
      <c r="D52" s="2">
        <v>0.957460729039981</v>
      </c>
      <c r="E52" s="2">
        <v>0.12960016324626866</v>
      </c>
      <c r="F52" s="2">
        <v>0.9610645661405064</v>
      </c>
      <c r="G52" s="4">
        <v>0.124347753420398</v>
      </c>
      <c r="H52" s="4">
        <v>32.4670676896263</v>
      </c>
      <c r="I52" s="4">
        <v>0.955186588235393</v>
      </c>
      <c r="J52" s="7"/>
      <c r="K52" s="1"/>
      <c r="L52" s="6"/>
      <c r="M52" s="6"/>
      <c r="N52" s="6"/>
      <c r="O52" s="6"/>
      <c r="P52" s="6"/>
      <c r="Q52" s="6"/>
      <c r="R52" s="6"/>
      <c r="S52" s="6"/>
    </row>
    <row x14ac:dyDescent="0.25" r="53" customHeight="1" ht="18.75">
      <c r="A53" s="1"/>
      <c r="B53" s="4">
        <v>0.1788608908582092</v>
      </c>
      <c r="C53" s="4">
        <v>33.831679302156</v>
      </c>
      <c r="D53" s="2">
        <v>0.964671188364376</v>
      </c>
      <c r="E53" s="2">
        <v>0.24052981187810943</v>
      </c>
      <c r="F53" s="2">
        <v>0.9703996014155548</v>
      </c>
      <c r="G53" s="4">
        <v>0.291704291044776</v>
      </c>
      <c r="H53" s="4">
        <v>33.795403354297</v>
      </c>
      <c r="I53" s="4">
        <v>0.964627266605798</v>
      </c>
      <c r="J53" s="7"/>
      <c r="K53" s="1"/>
      <c r="L53" s="6"/>
      <c r="M53" s="6"/>
      <c r="N53" s="6"/>
      <c r="O53" s="6"/>
      <c r="P53" s="6"/>
      <c r="Q53" s="6"/>
      <c r="R53" s="6"/>
      <c r="S53" s="6"/>
    </row>
    <row x14ac:dyDescent="0.25" r="54" customHeight="1" ht="18.75">
      <c r="A54" s="1"/>
      <c r="B54" s="4">
        <v>0.3590912235696512</v>
      </c>
      <c r="C54" s="4">
        <v>34.8128628108691</v>
      </c>
      <c r="D54" s="2">
        <v>0.9699936591284891</v>
      </c>
      <c r="E54" s="2">
        <v>0.45447998289801</v>
      </c>
      <c r="F54" s="2">
        <v>0.9771264109304304</v>
      </c>
      <c r="G54" s="4">
        <v>0.814433341106965</v>
      </c>
      <c r="H54" s="4">
        <v>35.6045546049454</v>
      </c>
      <c r="I54" s="4">
        <v>0.975474675850465</v>
      </c>
      <c r="J54" s="7"/>
      <c r="K54" s="1"/>
      <c r="L54" s="6"/>
      <c r="M54" s="6"/>
      <c r="N54" s="6"/>
      <c r="O54" s="6"/>
      <c r="P54" s="6"/>
      <c r="Q54" s="6"/>
      <c r="R54" s="6"/>
      <c r="S54" s="6"/>
    </row>
    <row x14ac:dyDescent="0.25" r="55" customHeight="1" ht="18.75">
      <c r="A55" s="1" t="s">
        <v>21</v>
      </c>
      <c r="B55" s="4">
        <v>0.027211660447761195</v>
      </c>
      <c r="C55" s="4">
        <v>33.6823</v>
      </c>
      <c r="D55" s="2">
        <v>0.8974225513039381</v>
      </c>
      <c r="E55" s="2">
        <v>0.0671971781716418</v>
      </c>
      <c r="F55" s="2">
        <v>0.9107660192178963</v>
      </c>
      <c r="G55" s="4">
        <v>0.0381529008602819</v>
      </c>
      <c r="H55" s="4">
        <v>33.5794248494635</v>
      </c>
      <c r="I55" s="4">
        <v>0.89606614107799</v>
      </c>
      <c r="J55" s="7"/>
      <c r="K55" s="1"/>
      <c r="L55" s="6"/>
      <c r="M55" s="6"/>
      <c r="N55" s="6"/>
      <c r="O55" s="6"/>
      <c r="P55" s="6"/>
      <c r="Q55" s="6"/>
      <c r="R55" s="6"/>
      <c r="S55" s="6"/>
    </row>
    <row x14ac:dyDescent="0.25" r="56" customHeight="1" ht="18.75">
      <c r="A56" s="1"/>
      <c r="B56" s="4">
        <v>0.04186665630182419</v>
      </c>
      <c r="C56" s="4">
        <v>34.0048766725519</v>
      </c>
      <c r="D56" s="2">
        <v>0.9029527925252271</v>
      </c>
      <c r="E56" s="2">
        <v>0.13259783115671636</v>
      </c>
      <c r="F56" s="2">
        <v>0.9225424212495281</v>
      </c>
      <c r="G56" s="4">
        <v>0.156137897750829</v>
      </c>
      <c r="H56" s="4">
        <v>34.199393744289</v>
      </c>
      <c r="I56" s="4">
        <v>0.912184564723471</v>
      </c>
      <c r="J56" s="7"/>
      <c r="K56" s="1"/>
      <c r="L56" s="6"/>
      <c r="M56" s="6"/>
      <c r="N56" s="6"/>
      <c r="O56" s="6"/>
      <c r="P56" s="6"/>
      <c r="Q56" s="6"/>
      <c r="R56" s="6"/>
      <c r="S56" s="6"/>
    </row>
    <row x14ac:dyDescent="0.25" r="57" customHeight="1" ht="18.75">
      <c r="A57" s="1"/>
      <c r="B57" s="4">
        <v>0.10346291977611921</v>
      </c>
      <c r="C57" s="4">
        <v>34.4102516788661</v>
      </c>
      <c r="D57" s="2">
        <v>0.911548251664667</v>
      </c>
      <c r="E57" s="2">
        <v>0.32302192164179105</v>
      </c>
      <c r="F57" s="2">
        <v>0.9420411252299628</v>
      </c>
      <c r="G57" s="4">
        <v>0.490718588049336</v>
      </c>
      <c r="H57" s="4">
        <v>35.6674285923567</v>
      </c>
      <c r="I57" s="4">
        <v>0.942967953962619</v>
      </c>
      <c r="J57" s="7"/>
      <c r="K57" s="1"/>
      <c r="L57" s="6"/>
      <c r="M57" s="6"/>
      <c r="N57" s="6"/>
      <c r="O57" s="6"/>
      <c r="P57" s="6"/>
      <c r="Q57" s="6"/>
      <c r="R57" s="6"/>
      <c r="S57" s="6"/>
    </row>
    <row x14ac:dyDescent="0.25" r="58" customHeight="1" ht="18.75">
      <c r="A58" s="1"/>
      <c r="B58" s="4">
        <v>0.2901945934390542</v>
      </c>
      <c r="C58" s="4">
        <v>35.0936902760769</v>
      </c>
      <c r="D58" s="2">
        <v>0.9229474023431371</v>
      </c>
      <c r="E58" s="2">
        <v>0.5759759082193201</v>
      </c>
      <c r="F58" s="2">
        <v>0.9527572276694618</v>
      </c>
      <c r="G58" s="4">
        <v>1.15526489946102</v>
      </c>
      <c r="H58" s="4">
        <v>37.8222962464263</v>
      </c>
      <c r="I58" s="4">
        <v>0.967804889182096</v>
      </c>
      <c r="J58" s="7"/>
      <c r="K58" s="1"/>
      <c r="L58" s="6"/>
      <c r="M58" s="6"/>
      <c r="N58" s="6"/>
      <c r="O58" s="6"/>
      <c r="P58" s="6"/>
      <c r="Q58" s="6"/>
      <c r="R58" s="6"/>
      <c r="S58" s="6"/>
    </row>
    <row x14ac:dyDescent="0.25" r="59" customHeight="1" ht="18.75">
      <c r="A59" s="1" t="s">
        <v>22</v>
      </c>
      <c r="B59" s="4">
        <v>0.036911660447761195</v>
      </c>
      <c r="C59" s="4">
        <v>36.6424</v>
      </c>
      <c r="D59" s="2">
        <v>0.9662944877409351</v>
      </c>
      <c r="E59" s="2">
        <v>0.056168512904228855</v>
      </c>
      <c r="F59" s="2">
        <v>0.9807369313830032</v>
      </c>
      <c r="G59" s="4">
        <v>0.0454685880493366</v>
      </c>
      <c r="H59" s="4">
        <v>37.2327613770904</v>
      </c>
      <c r="I59" s="4">
        <v>0.97124775704816</v>
      </c>
      <c r="J59" s="7"/>
      <c r="K59" s="1"/>
      <c r="L59" s="6"/>
      <c r="M59" s="6"/>
      <c r="N59" s="6"/>
      <c r="O59" s="6"/>
      <c r="P59" s="6"/>
      <c r="Q59" s="6"/>
      <c r="R59" s="6"/>
      <c r="S59" s="6"/>
    </row>
    <row x14ac:dyDescent="0.25" r="60" customHeight="1" ht="18.75">
      <c r="A60" s="1"/>
      <c r="B60" s="4">
        <v>0.057808431799336694</v>
      </c>
      <c r="C60" s="4">
        <v>38.1944487299223</v>
      </c>
      <c r="D60" s="2">
        <v>0.9766887374268021</v>
      </c>
      <c r="E60" s="2">
        <v>0.08808092998548922</v>
      </c>
      <c r="F60" s="2">
        <v>0.9846317433835541</v>
      </c>
      <c r="G60" s="4">
        <v>0.0868504029332504</v>
      </c>
      <c r="H60" s="4">
        <v>38.8468915606056</v>
      </c>
      <c r="I60" s="4">
        <v>0.979359473142969</v>
      </c>
      <c r="J60" s="7"/>
      <c r="K60" s="1"/>
      <c r="L60" s="6"/>
      <c r="M60" s="6"/>
      <c r="N60" s="6"/>
      <c r="O60" s="6"/>
      <c r="P60" s="6"/>
      <c r="Q60" s="6"/>
      <c r="R60" s="6"/>
      <c r="S60" s="6"/>
    </row>
    <row x14ac:dyDescent="0.25" r="61" customHeight="1" ht="18.75">
      <c r="A61" s="1"/>
      <c r="B61" s="4">
        <v>0.08725395159618579</v>
      </c>
      <c r="C61" s="4">
        <v>39.5370339218225</v>
      </c>
      <c r="D61" s="2">
        <v>0.9831109618383981</v>
      </c>
      <c r="E61" s="2">
        <v>0.1335256724191542</v>
      </c>
      <c r="F61" s="2">
        <v>0.9885070365203967</v>
      </c>
      <c r="G61" s="4">
        <v>0.175612957348673</v>
      </c>
      <c r="H61" s="4">
        <v>40.351360848445</v>
      </c>
      <c r="I61" s="4">
        <v>0.984781593978914</v>
      </c>
      <c r="J61" s="7"/>
      <c r="K61" s="1"/>
      <c r="L61" s="6"/>
      <c r="M61" s="6"/>
      <c r="N61" s="6"/>
      <c r="O61" s="6"/>
      <c r="P61" s="6"/>
      <c r="Q61" s="6"/>
      <c r="R61" s="6"/>
      <c r="S61" s="6"/>
    </row>
    <row x14ac:dyDescent="0.25" r="62" customHeight="1" ht="18.75">
      <c r="A62" s="1"/>
      <c r="B62" s="4">
        <v>0.1502128355617742</v>
      </c>
      <c r="C62" s="4">
        <v>41.0731501419848</v>
      </c>
      <c r="D62" s="2">
        <v>0.9874464114915351</v>
      </c>
      <c r="E62" s="2">
        <v>0.27039756944444443</v>
      </c>
      <c r="F62" s="2">
        <v>0.9921088290558068</v>
      </c>
      <c r="G62" s="4">
        <v>0.387225960043532</v>
      </c>
      <c r="H62" s="4">
        <v>41.8148149155078</v>
      </c>
      <c r="I62" s="4">
        <v>0.988781726412589</v>
      </c>
      <c r="J62" s="7"/>
      <c r="K62" s="1"/>
      <c r="L62" s="6"/>
      <c r="M62" s="6"/>
      <c r="N62" s="6"/>
      <c r="O62" s="6"/>
      <c r="P62" s="6"/>
      <c r="Q62" s="6"/>
      <c r="R62" s="6"/>
      <c r="S62" s="6"/>
    </row>
    <row x14ac:dyDescent="0.25" r="63" customHeight="1" ht="18.75">
      <c r="A63" s="1" t="s">
        <v>23</v>
      </c>
      <c r="B63" s="4">
        <v>0.034711660447761195</v>
      </c>
      <c r="C63" s="4">
        <v>35.567</v>
      </c>
      <c r="D63" s="2">
        <v>0.97250535377169</v>
      </c>
      <c r="E63" s="2">
        <v>0.05617999196724709</v>
      </c>
      <c r="F63" s="2">
        <v>0.9782108772182708</v>
      </c>
      <c r="G63" s="4">
        <v>0.0281095175165837</v>
      </c>
      <c r="H63" s="4">
        <v>35.7371731100215</v>
      </c>
      <c r="I63" s="4">
        <v>0.972152348420513</v>
      </c>
      <c r="J63" s="7"/>
      <c r="K63" s="1"/>
      <c r="L63" s="6"/>
      <c r="M63" s="6"/>
      <c r="N63" s="6"/>
      <c r="O63" s="6"/>
      <c r="P63" s="6"/>
      <c r="Q63" s="6"/>
      <c r="R63" s="6"/>
      <c r="S63" s="6"/>
    </row>
    <row x14ac:dyDescent="0.25" r="64" customHeight="1" ht="18.75">
      <c r="A64" s="1"/>
      <c r="B64" s="4">
        <v>0.050132948538557195</v>
      </c>
      <c r="C64" s="4">
        <v>36.927102590973</v>
      </c>
      <c r="D64" s="2">
        <v>0.9779400737899541</v>
      </c>
      <c r="E64" s="2">
        <v>0.06971350279850747</v>
      </c>
      <c r="F64" s="2">
        <v>0.9772555586085181</v>
      </c>
      <c r="G64" s="4">
        <v>0.0518836222533167</v>
      </c>
      <c r="H64" s="4">
        <v>36.9787161299594</v>
      </c>
      <c r="I64" s="4">
        <v>0.977248804612537</v>
      </c>
      <c r="J64" s="7"/>
      <c r="K64" s="1"/>
      <c r="L64" s="6"/>
      <c r="M64" s="6"/>
      <c r="N64" s="6"/>
      <c r="O64" s="6"/>
      <c r="P64" s="6"/>
      <c r="Q64" s="6"/>
      <c r="R64" s="6"/>
      <c r="S64" s="6"/>
    </row>
    <row x14ac:dyDescent="0.25" r="65" customHeight="1" ht="18.75">
      <c r="A65" s="1"/>
      <c r="B65" s="4">
        <v>0.0793041563018242</v>
      </c>
      <c r="C65" s="4">
        <v>38.1432852688747</v>
      </c>
      <c r="D65" s="2">
        <v>0.9815099582335051</v>
      </c>
      <c r="E65" s="2">
        <v>0.15168963127072968</v>
      </c>
      <c r="F65" s="2">
        <v>0.9837798905560146</v>
      </c>
      <c r="G65" s="4">
        <v>0.148948240567993</v>
      </c>
      <c r="H65" s="4">
        <v>37.9790890314062</v>
      </c>
      <c r="I65" s="4">
        <v>0.981178670324889</v>
      </c>
      <c r="J65" s="7"/>
      <c r="K65" s="1"/>
      <c r="L65" s="6"/>
      <c r="M65" s="6"/>
      <c r="N65" s="6"/>
      <c r="O65" s="6"/>
      <c r="P65" s="6"/>
      <c r="Q65" s="6"/>
      <c r="R65" s="6"/>
      <c r="S65" s="6"/>
    </row>
    <row x14ac:dyDescent="0.25" r="66" customHeight="1" ht="18.75">
      <c r="A66" s="1"/>
      <c r="B66" s="4">
        <v>0.1466558937085402</v>
      </c>
      <c r="C66" s="4">
        <v>38.9565862838293</v>
      </c>
      <c r="D66" s="2">
        <v>0.98373724002299</v>
      </c>
      <c r="E66" s="2">
        <v>0.334948551513267</v>
      </c>
      <c r="F66" s="2">
        <v>0.9877468116762171</v>
      </c>
      <c r="G66" s="4">
        <v>0.521537093179933</v>
      </c>
      <c r="H66" s="4">
        <v>39.270331276697</v>
      </c>
      <c r="I66" s="4">
        <v>0.986243026576437</v>
      </c>
      <c r="J66" s="7"/>
      <c r="K66" s="1"/>
      <c r="L66" s="6"/>
      <c r="M66" s="6"/>
      <c r="N66" s="6"/>
      <c r="O66" s="6"/>
      <c r="P66" s="6"/>
      <c r="Q66" s="6"/>
      <c r="R66" s="6"/>
      <c r="S66" s="6"/>
    </row>
    <row x14ac:dyDescent="0.25" r="67" customHeight="1" ht="18.75">
      <c r="A67" s="1" t="s">
        <v>24</v>
      </c>
      <c r="B67" s="4">
        <v>0.0598116604477612</v>
      </c>
      <c r="C67" s="4">
        <v>35.1543</v>
      </c>
      <c r="D67" s="2">
        <v>0.94065467311351</v>
      </c>
      <c r="E67" s="2">
        <v>0.08093641816956884</v>
      </c>
      <c r="F67" s="2">
        <v>0.9613761680399646</v>
      </c>
      <c r="G67" s="4">
        <v>0.0373395522388059</v>
      </c>
      <c r="H67" s="4">
        <v>36.9139745638216</v>
      </c>
      <c r="I67" s="4">
        <v>0.960537349246642</v>
      </c>
      <c r="J67" s="7"/>
      <c r="K67" s="1"/>
      <c r="L67" s="6"/>
      <c r="M67" s="6"/>
      <c r="N67" s="6"/>
      <c r="O67" s="6"/>
      <c r="P67" s="6"/>
      <c r="Q67" s="6"/>
      <c r="R67" s="6"/>
      <c r="S67" s="6"/>
    </row>
    <row x14ac:dyDescent="0.25" r="68" customHeight="1" ht="18.75">
      <c r="A68" s="1"/>
      <c r="B68" s="4">
        <v>0.07898174492122721</v>
      </c>
      <c r="C68" s="4">
        <v>36.4071958109081</v>
      </c>
      <c r="D68" s="2">
        <v>0.952749100145951</v>
      </c>
      <c r="E68" s="2">
        <v>0.11587696284203984</v>
      </c>
      <c r="F68" s="2">
        <v>0.9682277652671962</v>
      </c>
      <c r="G68" s="4">
        <v>0.0734101303378938</v>
      </c>
      <c r="H68" s="4">
        <v>37.9152290558707</v>
      </c>
      <c r="I68" s="4">
        <v>0.967163783323877</v>
      </c>
      <c r="J68" s="7"/>
      <c r="K68" s="1"/>
      <c r="L68" s="6"/>
      <c r="M68" s="6"/>
      <c r="N68" s="6"/>
      <c r="O68" s="6"/>
      <c r="P68" s="6"/>
      <c r="Q68" s="6"/>
      <c r="R68" s="6"/>
      <c r="S68" s="6"/>
    </row>
    <row x14ac:dyDescent="0.25" r="69" customHeight="1" ht="18.75">
      <c r="A69" s="1"/>
      <c r="B69" s="4">
        <v>0.12344984711857421</v>
      </c>
      <c r="C69" s="4">
        <v>37.5475479746145</v>
      </c>
      <c r="D69" s="2">
        <v>0.961970574180892</v>
      </c>
      <c r="E69" s="2">
        <v>0.23287751995232175</v>
      </c>
      <c r="F69" s="2">
        <v>0.9761658508332832</v>
      </c>
      <c r="G69" s="4">
        <v>0.206179318252487</v>
      </c>
      <c r="H69" s="4">
        <v>38.8824869139147</v>
      </c>
      <c r="I69" s="4">
        <v>0.973363758787363</v>
      </c>
      <c r="J69" s="7"/>
      <c r="K69" s="1"/>
      <c r="L69" s="6"/>
      <c r="M69" s="6"/>
      <c r="N69" s="6"/>
      <c r="O69" s="6"/>
      <c r="P69" s="6"/>
      <c r="Q69" s="6"/>
      <c r="R69" s="6"/>
      <c r="S69" s="6"/>
    </row>
    <row x14ac:dyDescent="0.25" r="70" customHeight="1" ht="18.75">
      <c r="A70" s="1"/>
      <c r="B70" s="4">
        <v>0.20641166044776119</v>
      </c>
      <c r="C70" s="4">
        <v>38.5914986590493</v>
      </c>
      <c r="D70" s="2">
        <v>0.969504979624854</v>
      </c>
      <c r="E70" s="2">
        <v>0.42706308950041466</v>
      </c>
      <c r="F70" s="2">
        <v>0.9818466336468774</v>
      </c>
      <c r="G70" s="4">
        <v>0.600184792184908</v>
      </c>
      <c r="H70" s="4">
        <v>40.2428303419831</v>
      </c>
      <c r="I70" s="4">
        <v>0.981219766598082</v>
      </c>
      <c r="J70" s="7"/>
      <c r="K70" s="1"/>
      <c r="L70" s="6"/>
      <c r="M70" s="6"/>
      <c r="N70" s="6"/>
      <c r="O70" s="6"/>
      <c r="P70" s="6"/>
      <c r="Q70" s="6"/>
      <c r="R70" s="6"/>
      <c r="S70" s="6"/>
    </row>
    <row x14ac:dyDescent="0.25" r="71" customHeight="1" ht="18.75">
      <c r="A71" s="1" t="s">
        <v>25</v>
      </c>
      <c r="B71" s="4">
        <v>0.08221166044776121</v>
      </c>
      <c r="C71" s="4">
        <v>33.4254</v>
      </c>
      <c r="D71" s="2">
        <v>0.9705640381003731</v>
      </c>
      <c r="E71" s="2">
        <v>0.08375812992330017</v>
      </c>
      <c r="F71" s="2">
        <v>0.9778932287017376</v>
      </c>
      <c r="G71" s="4">
        <v>0.0693299064572968</v>
      </c>
      <c r="H71" s="4">
        <v>34.2585819658666</v>
      </c>
      <c r="I71" s="4">
        <v>0.975425056033913</v>
      </c>
      <c r="J71" s="7"/>
      <c r="K71" s="1"/>
      <c r="L71" s="6"/>
      <c r="M71" s="6"/>
      <c r="N71" s="6"/>
      <c r="O71" s="6"/>
      <c r="P71" s="6"/>
      <c r="Q71" s="6"/>
      <c r="R71" s="6"/>
      <c r="S71" s="6"/>
    </row>
    <row x14ac:dyDescent="0.25" r="72" customHeight="1" ht="18.75">
      <c r="A72" s="1"/>
      <c r="B72" s="4">
        <v>0.11981208540630221</v>
      </c>
      <c r="C72" s="4">
        <v>35.1156015886278</v>
      </c>
      <c r="D72" s="2">
        <v>0.9780946409567071</v>
      </c>
      <c r="E72" s="2">
        <v>0.10843194833126035</v>
      </c>
      <c r="F72" s="2">
        <v>0.9820044604510342</v>
      </c>
      <c r="G72" s="4">
        <v>0.111662106135986</v>
      </c>
      <c r="H72" s="4">
        <v>36.1652403343278</v>
      </c>
      <c r="I72" s="4">
        <v>0.982431582485012</v>
      </c>
      <c r="J72" s="7"/>
      <c r="K72" s="1"/>
      <c r="L72" s="6"/>
      <c r="M72" s="6"/>
      <c r="N72" s="6"/>
      <c r="O72" s="6"/>
      <c r="P72" s="6"/>
      <c r="Q72" s="6"/>
      <c r="R72" s="6"/>
      <c r="S72" s="6"/>
    </row>
    <row x14ac:dyDescent="0.25" r="73" customHeight="1" ht="18.75">
      <c r="A73" s="1"/>
      <c r="B73" s="4">
        <v>0.1789701816438642</v>
      </c>
      <c r="C73" s="4">
        <v>37.1913890493031</v>
      </c>
      <c r="D73" s="2">
        <v>0.9849085794646011</v>
      </c>
      <c r="E73" s="2">
        <v>0.19352968231757878</v>
      </c>
      <c r="F73" s="2">
        <v>0.9884783168838011</v>
      </c>
      <c r="G73" s="4">
        <v>0.189506218905472</v>
      </c>
      <c r="H73" s="4">
        <v>38.0123447013926</v>
      </c>
      <c r="I73" s="4">
        <v>0.987151724477679</v>
      </c>
      <c r="J73" s="7"/>
      <c r="K73" s="1"/>
      <c r="L73" s="6"/>
      <c r="M73" s="6"/>
      <c r="N73" s="6"/>
      <c r="O73" s="6"/>
      <c r="P73" s="6"/>
      <c r="Q73" s="6"/>
      <c r="R73" s="6"/>
      <c r="S73" s="6"/>
    </row>
    <row x14ac:dyDescent="0.25" r="74" customHeight="1" ht="18.75">
      <c r="A74" s="1"/>
      <c r="B74" s="4">
        <v>0.2819116604477612</v>
      </c>
      <c r="C74" s="4">
        <v>38.8776196208779</v>
      </c>
      <c r="D74" s="2">
        <v>0.9887676540453311</v>
      </c>
      <c r="E74" s="2">
        <v>0.3127226238598673</v>
      </c>
      <c r="F74" s="2">
        <v>0.9921941224119156</v>
      </c>
      <c r="G74" s="4">
        <v>0.364254534618573</v>
      </c>
      <c r="H74" s="4">
        <v>39.744455427148</v>
      </c>
      <c r="I74" s="4">
        <v>0.99042910694731</v>
      </c>
      <c r="J74" s="7"/>
      <c r="K74" s="1"/>
      <c r="L74" s="6"/>
      <c r="M74" s="6"/>
      <c r="N74" s="6"/>
      <c r="O74" s="6"/>
      <c r="P74" s="6"/>
      <c r="Q74" s="6"/>
      <c r="R74" s="6"/>
      <c r="S74" s="6"/>
    </row>
    <row x14ac:dyDescent="0.25" r="75" customHeight="1" ht="18.75">
      <c r="A75" s="1" t="s">
        <v>26</v>
      </c>
      <c r="B75" s="4">
        <v>0.053911660447761196</v>
      </c>
      <c r="C75" s="4">
        <v>33.8134</v>
      </c>
      <c r="D75" s="2">
        <v>0.9459257019753161</v>
      </c>
      <c r="E75" s="2">
        <v>0.10244861629353236</v>
      </c>
      <c r="F75" s="2">
        <v>0.9665131552661664</v>
      </c>
      <c r="G75" s="4">
        <v>0.0673584551202321</v>
      </c>
      <c r="H75" s="4">
        <v>33.8133380178893</v>
      </c>
      <c r="I75" s="4">
        <v>0.947404602687635</v>
      </c>
      <c r="J75" s="7"/>
      <c r="K75" s="1"/>
      <c r="L75" s="6"/>
      <c r="M75" s="6"/>
      <c r="N75" s="6"/>
      <c r="O75" s="6"/>
      <c r="P75" s="6"/>
      <c r="Q75" s="6"/>
      <c r="R75" s="6"/>
      <c r="S75" s="6"/>
    </row>
    <row x14ac:dyDescent="0.25" r="76" customHeight="1" ht="18.75">
      <c r="A76" s="1"/>
      <c r="B76" s="4">
        <v>0.0871585691334992</v>
      </c>
      <c r="C76" s="4">
        <v>35.1394735967955</v>
      </c>
      <c r="D76" s="2">
        <v>0.960538780458257</v>
      </c>
      <c r="E76" s="2">
        <v>0.14783852871061362</v>
      </c>
      <c r="F76" s="2">
        <v>0.9709030537243891</v>
      </c>
      <c r="G76" s="4">
        <v>0.12151528814262</v>
      </c>
      <c r="H76" s="4">
        <v>35.2760092874521</v>
      </c>
      <c r="I76" s="4">
        <v>0.962080092692951</v>
      </c>
      <c r="J76" s="7"/>
      <c r="K76" s="1"/>
      <c r="L76" s="6"/>
      <c r="M76" s="6"/>
      <c r="N76" s="6"/>
      <c r="O76" s="6"/>
      <c r="P76" s="6"/>
      <c r="Q76" s="6"/>
      <c r="R76" s="6"/>
      <c r="S76" s="6"/>
    </row>
    <row x14ac:dyDescent="0.25" r="77" customHeight="1" ht="18.75">
      <c r="A77" s="1"/>
      <c r="B77" s="4">
        <v>0.1451074963723052</v>
      </c>
      <c r="C77" s="4">
        <v>36.4365327485571</v>
      </c>
      <c r="D77" s="2">
        <v>0.970368696901144</v>
      </c>
      <c r="E77" s="2">
        <v>0.25052205120232174</v>
      </c>
      <c r="F77" s="2">
        <v>0.9794672253103204</v>
      </c>
      <c r="G77" s="4">
        <v>0.22848239272388</v>
      </c>
      <c r="H77" s="4">
        <v>36.6920888452357</v>
      </c>
      <c r="I77" s="4">
        <v>0.972542822783533</v>
      </c>
      <c r="J77" s="7"/>
      <c r="K77" s="1"/>
      <c r="L77" s="6"/>
      <c r="M77" s="6"/>
      <c r="N77" s="6"/>
      <c r="O77" s="6"/>
      <c r="P77" s="6"/>
      <c r="Q77" s="6"/>
      <c r="R77" s="6"/>
      <c r="S77" s="6"/>
    </row>
    <row x14ac:dyDescent="0.25" r="78" customHeight="1" ht="18.75">
      <c r="A78" s="1"/>
      <c r="B78" s="4">
        <v>0.24940250570066322</v>
      </c>
      <c r="C78" s="4">
        <v>37.7491183408799</v>
      </c>
      <c r="D78" s="2">
        <v>0.97735382392218</v>
      </c>
      <c r="E78" s="2">
        <v>0.4174283141583748</v>
      </c>
      <c r="F78" s="2">
        <v>0.9846297791692944</v>
      </c>
      <c r="G78" s="4">
        <v>0.492221393034825</v>
      </c>
      <c r="H78" s="4">
        <v>38.1372319893445</v>
      </c>
      <c r="I78" s="4">
        <v>0.980797593955145</v>
      </c>
      <c r="J78" s="7"/>
      <c r="K78" s="1"/>
      <c r="L78" s="6"/>
      <c r="M78" s="6"/>
      <c r="N78" s="6"/>
      <c r="O78" s="6"/>
      <c r="P78" s="6"/>
      <c r="Q78" s="6"/>
      <c r="R78" s="6"/>
      <c r="S78" s="6"/>
    </row>
    <row x14ac:dyDescent="0.25" r="79" customHeight="1" ht="18.75">
      <c r="A79" s="1" t="s">
        <v>27</v>
      </c>
      <c r="B79" s="4">
        <v>0.0718116604477612</v>
      </c>
      <c r="C79" s="4">
        <v>33.4883</v>
      </c>
      <c r="D79" s="2">
        <v>0.95922811171985</v>
      </c>
      <c r="E79" s="2">
        <v>0.08822877798507464</v>
      </c>
      <c r="F79" s="2">
        <v>0.972372837591381</v>
      </c>
      <c r="G79" s="4">
        <v>0.0934512981965174</v>
      </c>
      <c r="H79" s="4">
        <v>34.1602152344546</v>
      </c>
      <c r="I79" s="4">
        <v>0.96461480435926</v>
      </c>
      <c r="J79" s="7"/>
      <c r="K79" s="1"/>
      <c r="L79" s="6"/>
      <c r="M79" s="6"/>
      <c r="N79" s="6"/>
      <c r="O79" s="6"/>
      <c r="P79" s="6"/>
      <c r="Q79" s="6"/>
      <c r="R79" s="6"/>
      <c r="S79" s="6"/>
    </row>
    <row x14ac:dyDescent="0.25" r="80" customHeight="1" ht="18.75">
      <c r="A80" s="1"/>
      <c r="B80" s="4">
        <v>0.1105974359970982</v>
      </c>
      <c r="C80" s="4">
        <v>35.2441</v>
      </c>
      <c r="D80" s="2">
        <v>0.9718017666823591</v>
      </c>
      <c r="E80" s="2">
        <v>0.13055991526741295</v>
      </c>
      <c r="F80" s="2">
        <v>0.9797046282599652</v>
      </c>
      <c r="G80" s="4">
        <v>0.163859854373963</v>
      </c>
      <c r="H80" s="4">
        <v>36.0948914430164</v>
      </c>
      <c r="I80" s="4">
        <v>0.975611034540175</v>
      </c>
      <c r="J80" s="7"/>
      <c r="K80" s="1"/>
      <c r="L80" s="6"/>
      <c r="M80" s="6"/>
      <c r="N80" s="6"/>
      <c r="O80" s="6"/>
      <c r="P80" s="6"/>
      <c r="Q80" s="6"/>
      <c r="R80" s="6"/>
      <c r="S80" s="6"/>
    </row>
    <row x14ac:dyDescent="0.25" r="81" customHeight="1" ht="18.75">
      <c r="A81" s="1"/>
      <c r="B81" s="4">
        <v>0.1772678210509952</v>
      </c>
      <c r="C81" s="4">
        <v>37.0634190495989</v>
      </c>
      <c r="D81" s="2">
        <v>0.98018250018055</v>
      </c>
      <c r="E81" s="2">
        <v>0.20258218672263684</v>
      </c>
      <c r="F81" s="2">
        <v>0.9870103379857791</v>
      </c>
      <c r="G81" s="4">
        <v>0.281828701544361</v>
      </c>
      <c r="H81" s="4">
        <v>38.0072183655475</v>
      </c>
      <c r="I81" s="4">
        <v>0.982971761013934</v>
      </c>
      <c r="J81" s="7"/>
      <c r="K81" s="1"/>
      <c r="L81" s="6"/>
      <c r="M81" s="6"/>
      <c r="N81" s="6"/>
      <c r="O81" s="6"/>
      <c r="P81" s="6"/>
      <c r="Q81" s="6"/>
      <c r="R81" s="6"/>
      <c r="S81" s="6"/>
    </row>
    <row x14ac:dyDescent="0.25" r="82" customHeight="1" ht="18.75">
      <c r="A82" s="1"/>
      <c r="B82" s="4">
        <v>0.2874116604477612</v>
      </c>
      <c r="C82" s="4">
        <v>38.8713781170115</v>
      </c>
      <c r="D82" s="2">
        <v>0.98583424483523</v>
      </c>
      <c r="E82" s="2">
        <v>0.34856433975953566</v>
      </c>
      <c r="F82" s="2">
        <v>0.9914281228945816</v>
      </c>
      <c r="G82" s="4">
        <v>0.493390871165008</v>
      </c>
      <c r="H82" s="4">
        <v>39.9065367697968</v>
      </c>
      <c r="I82" s="4">
        <v>0.987940132495694</v>
      </c>
      <c r="J82" s="7"/>
      <c r="K82" s="1"/>
      <c r="L82" s="6"/>
      <c r="M82" s="6"/>
      <c r="N82" s="6"/>
      <c r="O82" s="6"/>
      <c r="P82" s="6"/>
      <c r="Q82" s="6"/>
      <c r="R82" s="6"/>
      <c r="S82" s="6"/>
    </row>
    <row x14ac:dyDescent="0.25" r="83" customHeight="1" ht="18.75">
      <c r="A83" s="1"/>
      <c r="B83" s="6"/>
      <c r="C83" s="6"/>
      <c r="D83" s="6"/>
      <c r="E83" s="6"/>
      <c r="F83" s="6"/>
      <c r="G83" s="6"/>
      <c r="H83" s="6"/>
      <c r="I83" s="6"/>
      <c r="J83" s="1"/>
      <c r="K83" s="1"/>
      <c r="L83" s="6"/>
      <c r="M83" s="6"/>
      <c r="N83" s="6"/>
      <c r="O83" s="6"/>
      <c r="P83" s="6"/>
      <c r="Q83" s="6"/>
      <c r="R83" s="6"/>
      <c r="S83" s="6"/>
    </row>
    <row x14ac:dyDescent="0.25" r="84" customHeight="1" ht="18.75">
      <c r="A84" s="1"/>
      <c r="B84" s="6"/>
      <c r="C84" s="6"/>
      <c r="D84" s="6"/>
      <c r="E84" s="6"/>
      <c r="F84" s="6"/>
      <c r="G84" s="6"/>
      <c r="H84" s="6"/>
      <c r="I84" s="6"/>
      <c r="J84" s="1"/>
      <c r="K84" s="1"/>
      <c r="L84" s="6"/>
      <c r="M84" s="6"/>
      <c r="N84" s="6"/>
      <c r="O84" s="6"/>
      <c r="P84" s="6"/>
      <c r="Q84" s="6"/>
      <c r="R84" s="6"/>
      <c r="S84" s="6"/>
    </row>
    <row x14ac:dyDescent="0.25" r="85" customHeight="1" ht="18.75">
      <c r="A85" s="1"/>
      <c r="B85" s="6"/>
      <c r="C85" s="6"/>
      <c r="D85" s="6"/>
      <c r="E85" s="6"/>
      <c r="F85" s="6"/>
      <c r="G85" s="6"/>
      <c r="H85" s="6"/>
      <c r="I85" s="6"/>
      <c r="J85" s="1"/>
      <c r="K85" s="1"/>
      <c r="L85" s="6"/>
      <c r="M85" s="6"/>
      <c r="N85" s="6"/>
      <c r="O85" s="6"/>
      <c r="P85" s="6"/>
      <c r="Q85" s="6"/>
      <c r="R85" s="6"/>
      <c r="S85" s="6"/>
    </row>
    <row x14ac:dyDescent="0.25" r="86" customHeight="1" ht="18.75">
      <c r="A86" s="1"/>
      <c r="B86" s="6"/>
      <c r="C86" s="6"/>
      <c r="D86" s="6"/>
      <c r="E86" s="6"/>
      <c r="F86" s="6"/>
      <c r="G86" s="6"/>
      <c r="H86" s="6"/>
      <c r="I86" s="6"/>
      <c r="J86" s="1"/>
      <c r="K86" s="1"/>
      <c r="L86" s="6"/>
      <c r="M86" s="6"/>
      <c r="N86" s="6"/>
      <c r="O86" s="6"/>
      <c r="P86" s="6"/>
      <c r="Q86" s="6"/>
      <c r="R86" s="6"/>
      <c r="S86" s="6"/>
    </row>
    <row x14ac:dyDescent="0.25" r="87" customHeight="1" ht="18.75">
      <c r="A87" s="1"/>
      <c r="B87" s="6"/>
      <c r="C87" s="6"/>
      <c r="D87" s="6"/>
      <c r="E87" s="6"/>
      <c r="F87" s="6"/>
      <c r="G87" s="6"/>
      <c r="H87" s="6"/>
      <c r="I87" s="6"/>
      <c r="J87" s="1"/>
      <c r="K87" s="1"/>
      <c r="L87" s="6"/>
      <c r="M87" s="6"/>
      <c r="N87" s="6"/>
      <c r="O87" s="6"/>
      <c r="P87" s="6"/>
      <c r="Q87" s="6"/>
      <c r="R87" s="6"/>
      <c r="S87" s="6"/>
    </row>
    <row x14ac:dyDescent="0.25" r="88" customHeight="1" ht="18.75">
      <c r="A88" s="1"/>
      <c r="B88" s="6"/>
      <c r="C88" s="6"/>
      <c r="D88" s="6"/>
      <c r="E88" s="6"/>
      <c r="F88" s="6"/>
      <c r="G88" s="6"/>
      <c r="H88" s="6"/>
      <c r="I88" s="6"/>
      <c r="J88" s="1"/>
      <c r="K88" s="1"/>
      <c r="L88" s="6"/>
      <c r="M88" s="6"/>
      <c r="N88" s="6"/>
      <c r="O88" s="6"/>
      <c r="P88" s="6"/>
      <c r="Q88" s="6"/>
      <c r="R88" s="6"/>
      <c r="S88" s="6"/>
    </row>
    <row x14ac:dyDescent="0.25" r="89" customHeight="1" ht="18.75">
      <c r="A89" s="1"/>
      <c r="B89" s="6"/>
      <c r="C89" s="6"/>
      <c r="D89" s="6"/>
      <c r="E89" s="6"/>
      <c r="F89" s="6"/>
      <c r="G89" s="6"/>
      <c r="H89" s="6"/>
      <c r="I89" s="6"/>
      <c r="J89" s="1"/>
      <c r="K89" s="1"/>
      <c r="L89" s="6"/>
      <c r="M89" s="6"/>
      <c r="N89" s="6"/>
      <c r="O89" s="6"/>
      <c r="P89" s="6"/>
      <c r="Q89" s="6"/>
      <c r="R89" s="6"/>
      <c r="S89" s="6"/>
    </row>
    <row x14ac:dyDescent="0.25" r="90" customHeight="1" ht="18.75">
      <c r="A90" s="1"/>
      <c r="B90" s="6"/>
      <c r="C90" s="6"/>
      <c r="D90" s="6"/>
      <c r="E90" s="6"/>
      <c r="F90" s="6"/>
      <c r="G90" s="6"/>
      <c r="H90" s="6"/>
      <c r="I90" s="6"/>
      <c r="J90" s="1"/>
      <c r="K90" s="1"/>
      <c r="L90" s="6"/>
      <c r="M90" s="6"/>
      <c r="N90" s="6"/>
      <c r="O90" s="6"/>
      <c r="P90" s="6"/>
      <c r="Q90" s="6"/>
      <c r="R90" s="6"/>
      <c r="S90" s="6"/>
    </row>
    <row x14ac:dyDescent="0.25" r="91" customHeight="1" ht="18.75">
      <c r="A91" s="1"/>
      <c r="B91" s="6"/>
      <c r="C91" s="6"/>
      <c r="D91" s="6"/>
      <c r="E91" s="6"/>
      <c r="F91" s="6"/>
      <c r="G91" s="6"/>
      <c r="H91" s="6"/>
      <c r="I91" s="6"/>
      <c r="J91" s="1"/>
      <c r="K91" s="1"/>
      <c r="L91" s="6"/>
      <c r="M91" s="6"/>
      <c r="N91" s="6"/>
      <c r="O91" s="6"/>
      <c r="P91" s="6"/>
      <c r="Q91" s="6"/>
      <c r="R91" s="6"/>
      <c r="S91" s="6"/>
    </row>
    <row x14ac:dyDescent="0.25" r="92" customHeight="1" ht="18.75">
      <c r="A92" s="1"/>
      <c r="B92" s="6"/>
      <c r="C92" s="6"/>
      <c r="D92" s="6"/>
      <c r="E92" s="6"/>
      <c r="F92" s="6"/>
      <c r="G92" s="6"/>
      <c r="H92" s="6"/>
      <c r="I92" s="6"/>
      <c r="J92" s="1"/>
      <c r="K92" s="1"/>
      <c r="L92" s="6"/>
      <c r="M92" s="6"/>
      <c r="N92" s="6"/>
      <c r="O92" s="6"/>
      <c r="P92" s="6"/>
      <c r="Q92" s="6"/>
      <c r="R92" s="6"/>
      <c r="S92" s="6"/>
    </row>
    <row x14ac:dyDescent="0.25" r="93" customHeight="1" ht="18.75">
      <c r="A93" s="1"/>
      <c r="B93" s="6"/>
      <c r="C93" s="6"/>
      <c r="D93" s="6"/>
      <c r="E93" s="6"/>
      <c r="F93" s="6"/>
      <c r="G93" s="6"/>
      <c r="H93" s="6"/>
      <c r="I93" s="6"/>
      <c r="J93" s="1"/>
      <c r="K93" s="1"/>
      <c r="L93" s="6"/>
      <c r="M93" s="6"/>
      <c r="N93" s="6"/>
      <c r="O93" s="6"/>
      <c r="P93" s="6"/>
      <c r="Q93" s="6"/>
      <c r="R93" s="6"/>
      <c r="S93" s="6"/>
    </row>
    <row x14ac:dyDescent="0.25" r="94" customHeight="1" ht="18.75">
      <c r="A94" s="1"/>
      <c r="B94" s="6"/>
      <c r="C94" s="6"/>
      <c r="D94" s="6"/>
      <c r="E94" s="6"/>
      <c r="F94" s="6"/>
      <c r="G94" s="6"/>
      <c r="H94" s="6"/>
      <c r="I94" s="6"/>
      <c r="J94" s="1"/>
      <c r="K94" s="1"/>
      <c r="L94" s="6"/>
      <c r="M94" s="6"/>
      <c r="N94" s="6"/>
      <c r="O94" s="6"/>
      <c r="P94" s="6"/>
      <c r="Q94" s="6"/>
      <c r="R94" s="6"/>
      <c r="S94" s="6"/>
    </row>
    <row x14ac:dyDescent="0.25" r="95" customHeight="1" ht="18.75">
      <c r="A95" s="1"/>
      <c r="B95" s="6"/>
      <c r="C95" s="6"/>
      <c r="D95" s="6"/>
      <c r="E95" s="6"/>
      <c r="F95" s="6"/>
      <c r="G95" s="6"/>
      <c r="H95" s="6"/>
      <c r="I95" s="6"/>
      <c r="J95" s="1"/>
      <c r="K95" s="1"/>
      <c r="L95" s="6"/>
      <c r="M95" s="6"/>
      <c r="N95" s="6"/>
      <c r="O95" s="6"/>
      <c r="P95" s="6"/>
      <c r="Q95" s="6"/>
      <c r="R95" s="6"/>
      <c r="S95" s="6"/>
    </row>
    <row x14ac:dyDescent="0.25" r="96" customHeight="1" ht="18.75">
      <c r="A96" s="1"/>
      <c r="B96" s="6"/>
      <c r="C96" s="6"/>
      <c r="D96" s="6"/>
      <c r="E96" s="6"/>
      <c r="F96" s="6"/>
      <c r="G96" s="6"/>
      <c r="H96" s="6"/>
      <c r="I96" s="6"/>
      <c r="J96" s="1"/>
      <c r="K96" s="1"/>
      <c r="L96" s="6"/>
      <c r="M96" s="6"/>
      <c r="N96" s="6"/>
      <c r="O96" s="6"/>
      <c r="P96" s="6"/>
      <c r="Q96" s="6"/>
      <c r="R96" s="6"/>
      <c r="S96" s="6"/>
    </row>
    <row x14ac:dyDescent="0.25" r="97" customHeight="1" ht="18.75">
      <c r="A97" s="1"/>
      <c r="B97" s="6"/>
      <c r="C97" s="6"/>
      <c r="D97" s="6"/>
      <c r="E97" s="6"/>
      <c r="F97" s="6"/>
      <c r="G97" s="6"/>
      <c r="H97" s="6"/>
      <c r="I97" s="6"/>
      <c r="J97" s="1"/>
      <c r="K97" s="1"/>
      <c r="L97" s="6"/>
      <c r="M97" s="6"/>
      <c r="N97" s="6"/>
      <c r="O97" s="6"/>
      <c r="P97" s="6"/>
      <c r="Q97" s="6"/>
      <c r="R97" s="6"/>
      <c r="S97" s="6"/>
    </row>
    <row x14ac:dyDescent="0.25" r="98" customHeight="1" ht="18.75">
      <c r="A98" s="1"/>
      <c r="B98" s="6"/>
      <c r="C98" s="6"/>
      <c r="D98" s="6"/>
      <c r="E98" s="6"/>
      <c r="F98" s="6"/>
      <c r="G98" s="6"/>
      <c r="H98" s="6"/>
      <c r="I98" s="6"/>
      <c r="J98" s="1"/>
      <c r="K98" s="1"/>
      <c r="L98" s="6"/>
      <c r="M98" s="6"/>
      <c r="N98" s="6"/>
      <c r="O98" s="6"/>
      <c r="P98" s="6"/>
      <c r="Q98" s="6"/>
      <c r="R98" s="6"/>
      <c r="S98" s="6"/>
    </row>
    <row x14ac:dyDescent="0.25" r="99" customHeight="1" ht="18.75">
      <c r="A99" s="1"/>
      <c r="B99" s="6"/>
      <c r="C99" s="6"/>
      <c r="D99" s="6"/>
      <c r="E99" s="6"/>
      <c r="F99" s="6"/>
      <c r="G99" s="6"/>
      <c r="H99" s="6"/>
      <c r="I99" s="6"/>
      <c r="J99" s="1"/>
      <c r="K99" s="1"/>
      <c r="L99" s="6"/>
      <c r="M99" s="6"/>
      <c r="N99" s="6"/>
      <c r="O99" s="6"/>
      <c r="P99" s="6"/>
      <c r="Q99" s="6"/>
      <c r="R99" s="6"/>
      <c r="S99" s="6"/>
    </row>
    <row x14ac:dyDescent="0.25" r="100" customHeight="1" ht="18.75">
      <c r="A100" s="1"/>
      <c r="B100" s="6"/>
      <c r="C100" s="6"/>
      <c r="D100" s="6"/>
      <c r="E100" s="6"/>
      <c r="F100" s="6"/>
      <c r="G100" s="6"/>
      <c r="H100" s="6"/>
      <c r="I100" s="6"/>
      <c r="J100" s="1"/>
      <c r="K100" s="1"/>
      <c r="L100" s="6"/>
      <c r="M100" s="6"/>
      <c r="N100" s="6"/>
      <c r="O100" s="6"/>
      <c r="P100" s="6"/>
      <c r="Q100" s="6"/>
      <c r="R100" s="6"/>
      <c r="S100" s="6"/>
    </row>
    <row x14ac:dyDescent="0.25" r="101" customHeight="1" ht="18.75">
      <c r="A101" s="1"/>
      <c r="B101" s="6"/>
      <c r="C101" s="6"/>
      <c r="D101" s="6"/>
      <c r="E101" s="6"/>
      <c r="F101" s="6"/>
      <c r="G101" s="6"/>
      <c r="H101" s="6"/>
      <c r="I101" s="6"/>
      <c r="J101" s="1"/>
      <c r="K101" s="1"/>
      <c r="L101" s="6"/>
      <c r="M101" s="6"/>
      <c r="N101" s="6"/>
      <c r="O101" s="6"/>
      <c r="P101" s="6"/>
      <c r="Q101" s="6"/>
      <c r="R101" s="6"/>
      <c r="S101" s="6"/>
    </row>
    <row x14ac:dyDescent="0.25" r="102" customHeight="1" ht="18.75">
      <c r="A102" s="1"/>
      <c r="B102" s="6"/>
      <c r="C102" s="6"/>
      <c r="D102" s="6"/>
      <c r="E102" s="6"/>
      <c r="F102" s="6"/>
      <c r="G102" s="6"/>
      <c r="H102" s="6"/>
      <c r="I102" s="6"/>
      <c r="J102" s="1"/>
      <c r="K102" s="1"/>
      <c r="L102" s="6"/>
      <c r="M102" s="6"/>
      <c r="N102" s="6"/>
      <c r="O102" s="6"/>
      <c r="P102" s="6"/>
      <c r="Q102" s="6"/>
      <c r="R102" s="6"/>
      <c r="S102" s="6"/>
    </row>
    <row x14ac:dyDescent="0.25" r="103" customHeight="1" ht="18.75">
      <c r="A103" s="1"/>
      <c r="B103" s="6"/>
      <c r="C103" s="6"/>
      <c r="D103" s="6"/>
      <c r="E103" s="6"/>
      <c r="F103" s="6"/>
      <c r="G103" s="6"/>
      <c r="H103" s="6"/>
      <c r="I103" s="6"/>
      <c r="J103" s="1"/>
      <c r="K103" s="1"/>
      <c r="L103" s="6"/>
      <c r="M103" s="6"/>
      <c r="N103" s="6"/>
      <c r="O103" s="6"/>
      <c r="P103" s="6"/>
      <c r="Q103" s="6"/>
      <c r="R103" s="6"/>
      <c r="S103" s="6"/>
    </row>
    <row x14ac:dyDescent="0.25" r="104" customHeight="1" ht="18.75">
      <c r="A104" s="1"/>
      <c r="B104" s="6"/>
      <c r="C104" s="6"/>
      <c r="D104" s="6"/>
      <c r="E104" s="6"/>
      <c r="F104" s="6"/>
      <c r="G104" s="6"/>
      <c r="H104" s="6"/>
      <c r="I104" s="6"/>
      <c r="J104" s="1"/>
      <c r="K104" s="1"/>
      <c r="L104" s="6"/>
      <c r="M104" s="6"/>
      <c r="N104" s="6"/>
      <c r="O104" s="6"/>
      <c r="P104" s="6"/>
      <c r="Q104" s="6"/>
      <c r="R104" s="6"/>
      <c r="S104" s="6"/>
    </row>
    <row x14ac:dyDescent="0.25" r="105" customHeight="1" ht="18.75">
      <c r="A105" s="1"/>
      <c r="B105" s="6"/>
      <c r="C105" s="6"/>
      <c r="D105" s="6"/>
      <c r="E105" s="6"/>
      <c r="F105" s="6"/>
      <c r="G105" s="6"/>
      <c r="H105" s="6"/>
      <c r="I105" s="6"/>
      <c r="J105" s="1"/>
      <c r="K105" s="1"/>
      <c r="L105" s="6"/>
      <c r="M105" s="6"/>
      <c r="N105" s="6"/>
      <c r="O105" s="6"/>
      <c r="P105" s="6"/>
      <c r="Q105" s="6"/>
      <c r="R105" s="6"/>
      <c r="S105" s="6"/>
    </row>
    <row x14ac:dyDescent="0.25" r="106" customHeight="1" ht="18.75">
      <c r="A106" s="1"/>
      <c r="B106" s="6"/>
      <c r="C106" s="6"/>
      <c r="D106" s="6"/>
      <c r="E106" s="6"/>
      <c r="F106" s="6"/>
      <c r="G106" s="6"/>
      <c r="H106" s="6"/>
      <c r="I106" s="6"/>
      <c r="J106" s="1"/>
      <c r="K106" s="1"/>
      <c r="L106" s="6"/>
      <c r="M106" s="6"/>
      <c r="N106" s="6"/>
      <c r="O106" s="6"/>
      <c r="P106" s="6"/>
      <c r="Q106" s="6"/>
      <c r="R106" s="6"/>
      <c r="S106" s="6"/>
    </row>
    <row x14ac:dyDescent="0.25" r="107" customHeight="1" ht="18.75">
      <c r="A107" s="1"/>
      <c r="B107" s="6"/>
      <c r="C107" s="6"/>
      <c r="D107" s="6"/>
      <c r="E107" s="6"/>
      <c r="F107" s="6"/>
      <c r="G107" s="6"/>
      <c r="H107" s="6"/>
      <c r="I107" s="6"/>
      <c r="J107" s="1"/>
      <c r="K107" s="1"/>
      <c r="L107" s="6"/>
      <c r="M107" s="6"/>
      <c r="N107" s="6"/>
      <c r="O107" s="6"/>
      <c r="P107" s="6"/>
      <c r="Q107" s="6"/>
      <c r="R107" s="6"/>
      <c r="S107" s="6"/>
    </row>
    <row x14ac:dyDescent="0.25" r="108" customHeight="1" ht="18.75">
      <c r="A108" s="1"/>
      <c r="B108" s="6"/>
      <c r="C108" s="6"/>
      <c r="D108" s="6"/>
      <c r="E108" s="6"/>
      <c r="F108" s="6"/>
      <c r="G108" s="6"/>
      <c r="H108" s="6"/>
      <c r="I108" s="6"/>
      <c r="J108" s="1"/>
      <c r="K108" s="1"/>
      <c r="L108" s="6"/>
      <c r="M108" s="6"/>
      <c r="N108" s="6"/>
      <c r="O108" s="6"/>
      <c r="P108" s="6"/>
      <c r="Q108" s="6"/>
      <c r="R108" s="6"/>
      <c r="S108" s="6"/>
    </row>
    <row x14ac:dyDescent="0.25" r="109" customHeight="1" ht="18.75">
      <c r="A109" s="1"/>
      <c r="B109" s="6"/>
      <c r="C109" s="6"/>
      <c r="D109" s="6"/>
      <c r="E109" s="6"/>
      <c r="F109" s="6"/>
      <c r="G109" s="6"/>
      <c r="H109" s="6"/>
      <c r="I109" s="6"/>
      <c r="J109" s="1"/>
      <c r="K109" s="1"/>
      <c r="L109" s="6"/>
      <c r="M109" s="6"/>
      <c r="N109" s="6"/>
      <c r="O109" s="6"/>
      <c r="P109" s="6"/>
      <c r="Q109" s="6"/>
      <c r="R109" s="6"/>
      <c r="S109" s="6"/>
    </row>
    <row x14ac:dyDescent="0.25" r="110" customHeight="1" ht="18.75">
      <c r="A110" s="1"/>
      <c r="B110" s="6"/>
      <c r="C110" s="6"/>
      <c r="D110" s="6"/>
      <c r="E110" s="6"/>
      <c r="F110" s="6"/>
      <c r="G110" s="6"/>
      <c r="H110" s="6"/>
      <c r="I110" s="6"/>
      <c r="J110" s="1"/>
      <c r="K110" s="1"/>
      <c r="L110" s="6"/>
      <c r="M110" s="6"/>
      <c r="N110" s="6"/>
      <c r="O110" s="6"/>
      <c r="P110" s="6"/>
      <c r="Q110" s="6"/>
      <c r="R110" s="6"/>
      <c r="S110" s="6"/>
    </row>
    <row x14ac:dyDescent="0.25" r="111" customHeight="1" ht="18.75">
      <c r="A111" s="1"/>
      <c r="B111" s="6"/>
      <c r="C111" s="6"/>
      <c r="D111" s="6"/>
      <c r="E111" s="6"/>
      <c r="F111" s="6"/>
      <c r="G111" s="6"/>
      <c r="H111" s="6"/>
      <c r="I111" s="6"/>
      <c r="J111" s="1"/>
      <c r="K111" s="1"/>
      <c r="L111" s="6"/>
      <c r="M111" s="6"/>
      <c r="N111" s="6"/>
      <c r="O111" s="6"/>
      <c r="P111" s="6"/>
      <c r="Q111" s="6"/>
      <c r="R111" s="6"/>
      <c r="S111" s="6"/>
    </row>
    <row x14ac:dyDescent="0.25" r="112" customHeight="1" ht="18.75">
      <c r="A112" s="1"/>
      <c r="B112" s="6"/>
      <c r="C112" s="6"/>
      <c r="D112" s="6"/>
      <c r="E112" s="6"/>
      <c r="F112" s="6"/>
      <c r="G112" s="6"/>
      <c r="H112" s="6"/>
      <c r="I112" s="6"/>
      <c r="J112" s="1"/>
      <c r="K112" s="1"/>
      <c r="L112" s="6"/>
      <c r="M112" s="6"/>
      <c r="N112" s="6"/>
      <c r="O112" s="6"/>
      <c r="P112" s="6"/>
      <c r="Q112" s="6"/>
      <c r="R112" s="6"/>
      <c r="S112" s="6"/>
    </row>
    <row x14ac:dyDescent="0.25" r="113" customHeight="1" ht="18.75">
      <c r="A113" s="1"/>
      <c r="B113" s="6"/>
      <c r="C113" s="6"/>
      <c r="D113" s="6"/>
      <c r="E113" s="6"/>
      <c r="F113" s="6"/>
      <c r="G113" s="6"/>
      <c r="H113" s="6"/>
      <c r="I113" s="6"/>
      <c r="J113" s="1"/>
      <c r="K113" s="1"/>
      <c r="L113" s="6"/>
      <c r="M113" s="6"/>
      <c r="N113" s="6"/>
      <c r="O113" s="6"/>
      <c r="P113" s="6"/>
      <c r="Q113" s="6"/>
      <c r="R113" s="6"/>
      <c r="S113" s="6"/>
    </row>
    <row x14ac:dyDescent="0.25" r="114" customHeight="1" ht="18.75">
      <c r="A114" s="1"/>
      <c r="B114" s="6"/>
      <c r="C114" s="6"/>
      <c r="D114" s="6"/>
      <c r="E114" s="6"/>
      <c r="F114" s="6"/>
      <c r="G114" s="6"/>
      <c r="H114" s="6"/>
      <c r="I114" s="6"/>
      <c r="J114" s="1"/>
      <c r="K114" s="1"/>
      <c r="L114" s="6"/>
      <c r="M114" s="6"/>
      <c r="N114" s="6"/>
      <c r="O114" s="6"/>
      <c r="P114" s="6"/>
      <c r="Q114" s="6"/>
      <c r="R114" s="6"/>
      <c r="S114" s="6"/>
    </row>
    <row x14ac:dyDescent="0.25" r="115" customHeight="1" ht="18.75">
      <c r="A115" s="1"/>
      <c r="B115" s="6"/>
      <c r="C115" s="6"/>
      <c r="D115" s="6"/>
      <c r="E115" s="6"/>
      <c r="F115" s="6"/>
      <c r="G115" s="6"/>
      <c r="H115" s="6"/>
      <c r="I115" s="6"/>
      <c r="J115" s="1"/>
      <c r="K115" s="1"/>
      <c r="L115" s="6"/>
      <c r="M115" s="6"/>
      <c r="N115" s="6"/>
      <c r="O115" s="6"/>
      <c r="P115" s="6"/>
      <c r="Q115" s="6"/>
      <c r="R115" s="6"/>
      <c r="S115" s="6"/>
    </row>
    <row x14ac:dyDescent="0.25" r="116" customHeight="1" ht="18.75">
      <c r="A116" s="1"/>
      <c r="B116" s="6"/>
      <c r="C116" s="6"/>
      <c r="D116" s="6"/>
      <c r="E116" s="6"/>
      <c r="F116" s="6"/>
      <c r="G116" s="6"/>
      <c r="H116" s="6"/>
      <c r="I116" s="6"/>
      <c r="J116" s="1"/>
      <c r="K116" s="1"/>
      <c r="L116" s="6"/>
      <c r="M116" s="6"/>
      <c r="N116" s="6"/>
      <c r="O116" s="6"/>
      <c r="P116" s="6"/>
      <c r="Q116" s="6"/>
      <c r="R116" s="6"/>
      <c r="S116" s="6"/>
    </row>
    <row x14ac:dyDescent="0.25" r="117" customHeight="1" ht="18.75">
      <c r="A117" s="1"/>
      <c r="B117" s="6"/>
      <c r="C117" s="6"/>
      <c r="D117" s="6"/>
      <c r="E117" s="6"/>
      <c r="F117" s="6"/>
      <c r="G117" s="6"/>
      <c r="H117" s="6"/>
      <c r="I117" s="6"/>
      <c r="J117" s="1"/>
      <c r="K117" s="1"/>
      <c r="L117" s="6"/>
      <c r="M117" s="6"/>
      <c r="N117" s="6"/>
      <c r="O117" s="6"/>
      <c r="P117" s="6"/>
      <c r="Q117" s="6"/>
      <c r="R117" s="6"/>
      <c r="S117" s="6"/>
    </row>
    <row x14ac:dyDescent="0.25" r="118" customHeight="1" ht="18.75">
      <c r="A118" s="1"/>
      <c r="B118" s="6"/>
      <c r="C118" s="6"/>
      <c r="D118" s="6"/>
      <c r="E118" s="6"/>
      <c r="F118" s="6"/>
      <c r="G118" s="6"/>
      <c r="H118" s="6"/>
      <c r="I118" s="6"/>
      <c r="J118" s="1"/>
      <c r="K118" s="1"/>
      <c r="L118" s="6"/>
      <c r="M118" s="6"/>
      <c r="N118" s="6"/>
      <c r="O118" s="6"/>
      <c r="P118" s="6"/>
      <c r="Q118" s="6"/>
      <c r="R118" s="6"/>
      <c r="S118" s="6"/>
    </row>
    <row x14ac:dyDescent="0.25" r="119" customHeight="1" ht="18.75">
      <c r="A119" s="1"/>
      <c r="B119" s="6"/>
      <c r="C119" s="6"/>
      <c r="D119" s="6"/>
      <c r="E119" s="6"/>
      <c r="F119" s="6"/>
      <c r="G119" s="6"/>
      <c r="H119" s="6"/>
      <c r="I119" s="6"/>
      <c r="J119" s="1"/>
      <c r="K119" s="1"/>
      <c r="L119" s="6"/>
      <c r="M119" s="6"/>
      <c r="N119" s="6"/>
      <c r="O119" s="6"/>
      <c r="P119" s="6"/>
      <c r="Q119" s="6"/>
      <c r="R119" s="6"/>
      <c r="S119" s="6"/>
    </row>
    <row x14ac:dyDescent="0.25" r="120" customHeight="1" ht="18.75">
      <c r="A120" s="1"/>
      <c r="B120" s="6"/>
      <c r="C120" s="6"/>
      <c r="D120" s="6"/>
      <c r="E120" s="6"/>
      <c r="F120" s="6"/>
      <c r="G120" s="6"/>
      <c r="H120" s="6"/>
      <c r="I120" s="6"/>
      <c r="J120" s="1"/>
      <c r="K120" s="1"/>
      <c r="L120" s="6"/>
      <c r="M120" s="6"/>
      <c r="N120" s="6"/>
      <c r="O120" s="6"/>
      <c r="P120" s="6"/>
      <c r="Q120" s="6"/>
      <c r="R120" s="6"/>
      <c r="S120" s="6"/>
    </row>
    <row x14ac:dyDescent="0.25" r="121" customHeight="1" ht="18.75">
      <c r="A121" s="1"/>
      <c r="B121" s="6"/>
      <c r="C121" s="6"/>
      <c r="D121" s="6"/>
      <c r="E121" s="6"/>
      <c r="F121" s="6"/>
      <c r="G121" s="6"/>
      <c r="H121" s="6"/>
      <c r="I121" s="6"/>
      <c r="J121" s="1"/>
      <c r="K121" s="1"/>
      <c r="L121" s="6"/>
      <c r="M121" s="6"/>
      <c r="N121" s="6"/>
      <c r="O121" s="6"/>
      <c r="P121" s="6"/>
      <c r="Q121" s="6"/>
      <c r="R121" s="6"/>
      <c r="S121" s="6"/>
    </row>
    <row x14ac:dyDescent="0.25" r="122" customHeight="1" ht="18.75">
      <c r="A122" s="1"/>
      <c r="B122" s="6"/>
      <c r="C122" s="6"/>
      <c r="D122" s="6"/>
      <c r="E122" s="6"/>
      <c r="F122" s="6"/>
      <c r="G122" s="6"/>
      <c r="H122" s="6"/>
      <c r="I122" s="6"/>
      <c r="J122" s="1"/>
      <c r="K122" s="1"/>
      <c r="L122" s="6"/>
      <c r="M122" s="6"/>
      <c r="N122" s="6"/>
      <c r="O122" s="6"/>
      <c r="P122" s="6"/>
      <c r="Q122" s="6"/>
      <c r="R122" s="6"/>
      <c r="S122" s="6"/>
    </row>
    <row x14ac:dyDescent="0.25" r="123" customHeight="1" ht="18.75">
      <c r="A123" s="1"/>
      <c r="B123" s="6"/>
      <c r="C123" s="6"/>
      <c r="D123" s="6"/>
      <c r="E123" s="6"/>
      <c r="F123" s="6"/>
      <c r="G123" s="6"/>
      <c r="H123" s="6"/>
      <c r="I123" s="6"/>
      <c r="J123" s="1"/>
      <c r="K123" s="1"/>
      <c r="L123" s="6"/>
      <c r="M123" s="6"/>
      <c r="N123" s="6"/>
      <c r="O123" s="6"/>
      <c r="P123" s="6"/>
      <c r="Q123" s="6"/>
      <c r="R123" s="6"/>
      <c r="S123" s="6"/>
    </row>
    <row x14ac:dyDescent="0.25" r="124" customHeight="1" ht="18.75">
      <c r="A124" s="1"/>
      <c r="B124" s="6"/>
      <c r="C124" s="6"/>
      <c r="D124" s="6"/>
      <c r="E124" s="6"/>
      <c r="F124" s="6"/>
      <c r="G124" s="6"/>
      <c r="H124" s="6"/>
      <c r="I124" s="6"/>
      <c r="J124" s="1"/>
      <c r="K124" s="1"/>
      <c r="L124" s="6"/>
      <c r="M124" s="6"/>
      <c r="N124" s="6"/>
      <c r="O124" s="6"/>
      <c r="P124" s="6"/>
      <c r="Q124" s="6"/>
      <c r="R124" s="6"/>
      <c r="S124" s="6"/>
    </row>
    <row x14ac:dyDescent="0.25" r="125" customHeight="1" ht="18.75">
      <c r="A125" s="1"/>
      <c r="B125" s="6"/>
      <c r="C125" s="6"/>
      <c r="D125" s="6"/>
      <c r="E125" s="6"/>
      <c r="F125" s="6"/>
      <c r="G125" s="6"/>
      <c r="H125" s="6"/>
      <c r="I125" s="6"/>
      <c r="J125" s="1"/>
      <c r="K125" s="1"/>
      <c r="L125" s="6"/>
      <c r="M125" s="6"/>
      <c r="N125" s="6"/>
      <c r="O125" s="6"/>
      <c r="P125" s="6"/>
      <c r="Q125" s="6"/>
      <c r="R125" s="6"/>
      <c r="S125" s="6"/>
    </row>
    <row x14ac:dyDescent="0.25" r="126" customHeight="1" ht="18.75">
      <c r="A126" s="1"/>
      <c r="B126" s="6"/>
      <c r="C126" s="6"/>
      <c r="D126" s="6"/>
      <c r="E126" s="6"/>
      <c r="F126" s="6"/>
      <c r="G126" s="6"/>
      <c r="H126" s="6"/>
      <c r="I126" s="6"/>
      <c r="J126" s="1"/>
      <c r="K126" s="1"/>
      <c r="L126" s="6"/>
      <c r="M126" s="6"/>
      <c r="N126" s="6"/>
      <c r="O126" s="6"/>
      <c r="P126" s="6"/>
      <c r="Q126" s="6"/>
      <c r="R126" s="6"/>
      <c r="S126" s="6"/>
    </row>
    <row x14ac:dyDescent="0.25" r="127" customHeight="1" ht="18.75">
      <c r="A127" s="1"/>
      <c r="B127" s="6"/>
      <c r="C127" s="6"/>
      <c r="D127" s="6"/>
      <c r="E127" s="6"/>
      <c r="F127" s="6"/>
      <c r="G127" s="6"/>
      <c r="H127" s="6"/>
      <c r="I127" s="6"/>
      <c r="J127" s="1"/>
      <c r="K127" s="1"/>
      <c r="L127" s="6"/>
      <c r="M127" s="6"/>
      <c r="N127" s="6"/>
      <c r="O127" s="6"/>
      <c r="P127" s="6"/>
      <c r="Q127" s="6"/>
      <c r="R127" s="6"/>
      <c r="S127" s="6"/>
    </row>
    <row x14ac:dyDescent="0.25" r="128" customHeight="1" ht="18.75">
      <c r="A128" s="1"/>
      <c r="B128" s="6"/>
      <c r="C128" s="6"/>
      <c r="D128" s="6"/>
      <c r="E128" s="6"/>
      <c r="F128" s="6"/>
      <c r="G128" s="6"/>
      <c r="H128" s="6"/>
      <c r="I128" s="6"/>
      <c r="J128" s="1"/>
      <c r="K128" s="1"/>
      <c r="L128" s="6"/>
      <c r="M128" s="6"/>
      <c r="N128" s="6"/>
      <c r="O128" s="6"/>
      <c r="P128" s="6"/>
      <c r="Q128" s="6"/>
      <c r="R128" s="6"/>
      <c r="S128" s="6"/>
    </row>
    <row x14ac:dyDescent="0.25" r="129" customHeight="1" ht="18.75">
      <c r="A129" s="1"/>
      <c r="B129" s="6"/>
      <c r="C129" s="6"/>
      <c r="D129" s="6"/>
      <c r="E129" s="6"/>
      <c r="F129" s="6"/>
      <c r="G129" s="6"/>
      <c r="H129" s="6"/>
      <c r="I129" s="6"/>
      <c r="J129" s="1"/>
      <c r="K129" s="1"/>
      <c r="L129" s="6"/>
      <c r="M129" s="6"/>
      <c r="N129" s="6"/>
      <c r="O129" s="6"/>
      <c r="P129" s="6"/>
      <c r="Q129" s="6"/>
      <c r="R129" s="6"/>
      <c r="S129" s="6"/>
    </row>
    <row x14ac:dyDescent="0.25" r="130" customHeight="1" ht="18.75">
      <c r="A130" s="1"/>
      <c r="B130" s="6"/>
      <c r="C130" s="6"/>
      <c r="D130" s="6"/>
      <c r="E130" s="6"/>
      <c r="F130" s="6"/>
      <c r="G130" s="6"/>
      <c r="H130" s="6"/>
      <c r="I130" s="6"/>
      <c r="J130" s="1"/>
      <c r="K130" s="1"/>
      <c r="L130" s="6"/>
      <c r="M130" s="6"/>
      <c r="N130" s="6"/>
      <c r="O130" s="6"/>
      <c r="P130" s="6"/>
      <c r="Q130" s="6"/>
      <c r="R130" s="6"/>
      <c r="S130" s="6"/>
    </row>
    <row x14ac:dyDescent="0.25" r="131" customHeight="1" ht="18.75">
      <c r="A131" s="1"/>
      <c r="B131" s="6"/>
      <c r="C131" s="6"/>
      <c r="D131" s="6"/>
      <c r="E131" s="6"/>
      <c r="F131" s="6"/>
      <c r="G131" s="6"/>
      <c r="H131" s="6"/>
      <c r="I131" s="6"/>
      <c r="J131" s="1"/>
      <c r="K131" s="1"/>
      <c r="L131" s="6"/>
      <c r="M131" s="6"/>
      <c r="N131" s="6"/>
      <c r="O131" s="6"/>
      <c r="P131" s="6"/>
      <c r="Q131" s="6"/>
      <c r="R131" s="6"/>
      <c r="S131" s="6"/>
    </row>
    <row x14ac:dyDescent="0.25" r="132" customHeight="1" ht="18.75">
      <c r="A132" s="1"/>
      <c r="B132" s="6"/>
      <c r="C132" s="6"/>
      <c r="D132" s="6"/>
      <c r="E132" s="6"/>
      <c r="F132" s="6"/>
      <c r="G132" s="6"/>
      <c r="H132" s="6"/>
      <c r="I132" s="6"/>
      <c r="J132" s="1"/>
      <c r="K132" s="1"/>
      <c r="L132" s="6"/>
      <c r="M132" s="6"/>
      <c r="N132" s="6"/>
      <c r="O132" s="6"/>
      <c r="P132" s="6"/>
      <c r="Q132" s="6"/>
      <c r="R132" s="6"/>
      <c r="S132" s="6"/>
    </row>
    <row x14ac:dyDescent="0.25" r="133" customHeight="1" ht="18.75">
      <c r="A133" s="1"/>
      <c r="B133" s="6"/>
      <c r="C133" s="6"/>
      <c r="D133" s="6"/>
      <c r="E133" s="6"/>
      <c r="F133" s="6"/>
      <c r="G133" s="6"/>
      <c r="H133" s="6"/>
      <c r="I133" s="6"/>
      <c r="J133" s="1"/>
      <c r="K133" s="1"/>
      <c r="L133" s="6"/>
      <c r="M133" s="6"/>
      <c r="N133" s="6"/>
      <c r="O133" s="6"/>
      <c r="P133" s="6"/>
      <c r="Q133" s="6"/>
      <c r="R133" s="6"/>
      <c r="S133" s="6"/>
    </row>
    <row x14ac:dyDescent="0.25" r="134" customHeight="1" ht="18.75">
      <c r="A134" s="1"/>
      <c r="B134" s="6"/>
      <c r="C134" s="6"/>
      <c r="D134" s="6"/>
      <c r="E134" s="6"/>
      <c r="F134" s="6"/>
      <c r="G134" s="6"/>
      <c r="H134" s="6"/>
      <c r="I134" s="6"/>
      <c r="J134" s="1"/>
      <c r="K134" s="1"/>
      <c r="L134" s="6"/>
      <c r="M134" s="4"/>
      <c r="N134" s="4"/>
      <c r="O134" s="4"/>
      <c r="P134" s="6"/>
      <c r="Q134" s="6"/>
      <c r="R134" s="6"/>
      <c r="S134" s="6"/>
    </row>
  </sheetData>
  <mergeCells count="6">
    <mergeCell ref="B1:D1"/>
    <mergeCell ref="E1:F1"/>
    <mergeCell ref="G1:I1"/>
    <mergeCell ref="L1:N1"/>
    <mergeCell ref="O1:P1"/>
    <mergeCell ref="Q1:S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2026-05-01T21:59:16.797Z</dcterms:created>
  <dcterms:modified xsi:type="dcterms:W3CDTF">2026-05-01T21:59:16.797Z</dcterms:modified>
</cp:coreProperties>
</file>